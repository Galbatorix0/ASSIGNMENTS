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W Data Analytics files\Assignments\"/>
    </mc:Choice>
  </mc:AlternateContent>
  <xr:revisionPtr revIDLastSave="0" documentId="8_{A6E8AA9F-C03C-4583-80B6-A3E59CE5ACFE}" xr6:coauthVersionLast="47" xr6:coauthVersionMax="47" xr10:uidLastSave="{00000000-0000-0000-0000-000000000000}"/>
  <bookViews>
    <workbookView xWindow="-120" yWindow="-120" windowWidth="29040" windowHeight="15840" xr2:uid="{5E861A06-2CE4-4840-B706-3AAFC4D36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5" i="1" l="1"/>
  <c r="F85" i="1"/>
  <c r="G69" i="1"/>
  <c r="G70" i="1"/>
  <c r="G71" i="1"/>
  <c r="D62" i="1"/>
  <c r="G43" i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G19" i="1"/>
  <c r="G20" i="1"/>
  <c r="G21" i="1"/>
  <c r="G22" i="1"/>
  <c r="F7" i="1"/>
  <c r="F8" i="1"/>
  <c r="F9" i="1"/>
  <c r="F10" i="1"/>
  <c r="F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<sst xmlns="http://schemas.openxmlformats.org/spreadsheetml/2006/main" count="99" uniqueCount="68">
  <si>
    <t>Ans</t>
  </si>
  <si>
    <t>Marks</t>
  </si>
  <si>
    <t>Student Name</t>
  </si>
  <si>
    <t>Riya</t>
  </si>
  <si>
    <t>Siya</t>
  </si>
  <si>
    <t>Raju</t>
  </si>
  <si>
    <t>Rahul</t>
  </si>
  <si>
    <t>Ram</t>
  </si>
  <si>
    <t>IF(F7&gt;=40, "PASS", "FAIL")</t>
  </si>
  <si>
    <t>Ans:</t>
  </si>
  <si>
    <t>Employee</t>
  </si>
  <si>
    <t>Sales</t>
  </si>
  <si>
    <t>Attendance</t>
  </si>
  <si>
    <t>Arjun</t>
  </si>
  <si>
    <t>Simran</t>
  </si>
  <si>
    <t>Rohit</t>
  </si>
  <si>
    <t>Anjali</t>
  </si>
  <si>
    <t>IF(AND(E19&gt;40000,F19&gt;=90), "BONUS", "NO BONUS")</t>
  </si>
  <si>
    <t>Write a nested IF formula:</t>
  </si>
  <si>
    <t>Raj</t>
  </si>
  <si>
    <t>Neha</t>
  </si>
  <si>
    <t>Vivek</t>
  </si>
  <si>
    <t>Rani</t>
  </si>
  <si>
    <t>Sneha</t>
  </si>
  <si>
    <t>If marks in F31 are ≥ 90 → 'A' , ≥ 75 → 'B' , ≥ 50 → 'C', otherwise "Fail".</t>
  </si>
  <si>
    <t>A company gives a bonus if sales are above 40,000 and attendance is greater than or equal to 90%. Write a formula to calculate whether the employee will get a bonus or not.</t>
  </si>
  <si>
    <t>Write a formula to check if the marks in cell F7:11 are greater than or equal to 40. If yes, return  "Pass", otherwise "Fail".</t>
  </si>
  <si>
    <t>IFS(F31&gt;=90, "A", F31&gt;=75, "B", F31&gt;=50, "C", F31&lt;50, "FAIL")</t>
  </si>
  <si>
    <t>Find the Department of Employee ID = E103. Also explain which LOOKUP function is used and why?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</si>
  <si>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</si>
  <si>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</si>
  <si>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</si>
  <si>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</si>
  <si>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</si>
  <si>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</si>
  <si>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</si>
  <si>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</si>
  <si>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</si>
  <si>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</si>
  <si>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</si>
  <si>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</si>
  <si>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LOOKUP(D48,$D43:$D46,$F43:$F46)</t>
  </si>
  <si>
    <t>Because we are looking for a value from a table from a column which we know of and the result column is also known.</t>
  </si>
  <si>
    <t>A 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</si>
  <si>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</si>
  <si>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</si>
  <si>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 applicable.</t>
  </si>
  <si>
    <t>VLOOKUP(G57,Table1,2,TRUE)</t>
  </si>
  <si>
    <t>The HR department maintains the following leave records of employees:</t>
  </si>
  <si>
    <t>Employee Name</t>
  </si>
  <si>
    <t>Alex</t>
  </si>
  <si>
    <t>Bob</t>
  </si>
  <si>
    <t>Anna</t>
  </si>
  <si>
    <t>Leaves Taken</t>
  </si>
  <si>
    <t>Leaves Allowed</t>
  </si>
  <si>
    <t>If Leaves Taken &gt; Allowed Leaves, display "Exceeded".</t>
  </si>
  <si>
    <t xml:space="preserve">Write an IF function to check whether an employee has Exceeded their allowed leave balance.  </t>
  </si>
  <si>
    <t>Otherwise, display "OK".</t>
  </si>
  <si>
    <t>IF(E69&gt;F69, "Exceeded", "OK")</t>
  </si>
  <si>
    <t>Find the salary of EmpID = E105 using INDEX-MATCH Function.</t>
  </si>
  <si>
    <t>Salary</t>
  </si>
  <si>
    <t>E105</t>
  </si>
  <si>
    <t>E106</t>
  </si>
  <si>
    <t>INDEX(E83:E86,MATCH(F84,D83:D86,0))</t>
  </si>
  <si>
    <t>Use the XLOOKUP function to find the Department of the employee with Emp ID = E303.</t>
  </si>
  <si>
    <t>E303</t>
  </si>
  <si>
    <t>E301</t>
  </si>
  <si>
    <t>XLOOKUP(F94,D94:D97,E94:E97,,0)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</si>
</sst>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0" fontId="1" fillId="0" borderId="6" xfId="0" applyFont="1" applyBorder="1"/>
    <xf numFmtId="0" fontId="1" fillId="0" borderId="7" xfId="0" applyFont="1" applyBorder="1"/>
    <xf numFmtId="0" fontId="0" fillId="0" borderId="3" xfId="0" applyBorder="1"/>
    <xf numFmtId="9" fontId="0" fillId="0" borderId="2" xfId="0" applyNumberFormat="1" applyBorder="1"/>
    <xf numFmtId="0" fontId="1" fillId="0" borderId="8" xfId="0" applyFont="1" applyBorder="1"/>
    <xf numFmtId="0" fontId="0" fillId="0" borderId="5" xfId="0" applyBorder="1"/>
    <xf numFmtId="0" fontId="0" fillId="0" borderId="9" xfId="0" applyBorder="1"/>
    <xf numFmtId="9" fontId="0" fillId="0" borderId="4" xfId="0" applyNumberFormat="1" applyBorder="1"/>
    <xf numFmtId="0" fontId="0" fillId="0" borderId="4" xfId="0" applyBorder="1"/>
    <xf numFmtId="0" fontId="0" fillId="0" borderId="2" xfId="0" applyBorder="1"/>
    <xf numFmtId="0" fontId="0" fillId="2" borderId="0" xfId="0" applyFill="1"/>
  </cellXfs>
  <cellStyles count="1"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B715C-F9C1-4FAF-90C5-C73022690F11}" name="Table1" displayName="Table1" ref="D55:E59" totalsRowShown="0" headerRowDxfId="11" headerRowBorderDxfId="9" tableBorderDxfId="10" totalsRowBorderDxfId="8">
  <autoFilter ref="D55:E59" xr:uid="{2C6B715C-F9C1-4FAF-90C5-C73022690F11}"/>
  <tableColumns count="2">
    <tableColumn id="1" xr3:uid="{4D83B35F-4715-49C3-BF10-C2BC6C5100CC}" name="Sales Amount" dataDxfId="7"/>
    <tableColumn id="3" xr3:uid="{50DBB161-A6E2-4A32-B887-6B56E9FA7B2A}" name="Commission Rat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3BDB35-CB69-4178-BAE6-9A76B53DD817}" name="Table2" displayName="Table2" ref="D6:E11" totalsRowShown="0" headerRowDxfId="32" headerRowBorderDxfId="36" tableBorderDxfId="37" totalsRowBorderDxfId="35">
  <autoFilter ref="D6:E11" xr:uid="{0B3BDB35-CB69-4178-BAE6-9A76B53DD817}"/>
  <tableColumns count="2">
    <tableColumn id="1" xr3:uid="{8F77AD7B-ACEF-4880-A1B7-E25A5CB1566C}" name="Student Name" dataDxfId="34"/>
    <tableColumn id="3" xr3:uid="{EE987663-24D6-4B85-B711-C25E50AD7846}" name="Marks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4D7E0D-CCAB-4133-9BF8-7D0C7A57C53F}" name="Table3" displayName="Table3" ref="D18:F22" totalsRowShown="0" headerRowDxfId="25" headerRowBorderDxfId="30" tableBorderDxfId="31" totalsRowBorderDxfId="29">
  <autoFilter ref="D18:F22" xr:uid="{494D7E0D-CCAB-4133-9BF8-7D0C7A57C53F}"/>
  <tableColumns count="3">
    <tableColumn id="1" xr3:uid="{460DFF99-73DC-4D9D-8667-7B2B50182202}" name="Employee" dataDxfId="28"/>
    <tableColumn id="2" xr3:uid="{7F806BAE-D4A8-4360-89B4-F7C9E6AC3316}" name="Sales" dataDxfId="27"/>
    <tableColumn id="3" xr3:uid="{6A504ECB-6730-4759-8D8E-22A2B5011722}" name="Attendance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DD2AA1-EC3B-4EA1-A26A-C9142733226A}" name="Table4" displayName="Table4" ref="D30:E35" totalsRowShown="0" headerRowDxfId="19" headerRowBorderDxfId="23" tableBorderDxfId="24" totalsRowBorderDxfId="22">
  <autoFilter ref="D30:E35" xr:uid="{E8DD2AA1-EC3B-4EA1-A26A-C9142733226A}"/>
  <tableColumns count="2">
    <tableColumn id="1" xr3:uid="{C59096E9-C587-453D-A297-8674314E0049}" name="Student Name" dataDxfId="21"/>
    <tableColumn id="3" xr3:uid="{963C5A1A-F223-4570-A8E7-59F60FEBB369}" name="Marks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5A5B8D-1A98-4A21-B4AA-BD84398EF86D}" name="Table5" displayName="Table5" ref="D42:F46" totalsRowShown="0" headerRowDxfId="12" headerRowBorderDxfId="17" tableBorderDxfId="18" totalsRowBorderDxfId="16">
  <autoFilter ref="D42:F46" xr:uid="{D75A5B8D-1A98-4A21-B4AA-BD84398EF86D}"/>
  <tableColumns count="3">
    <tableColumn id="1" xr3:uid="{D5CD7FD3-BE31-4A70-B870-E0C06ACEEEF9}" name="EmpID" dataDxfId="15"/>
    <tableColumn id="2" xr3:uid="{CACC07C0-AA07-407E-942F-581359B60E5B}" name="Name" dataDxfId="14"/>
    <tableColumn id="3" xr3:uid="{9DD4103F-F205-41A6-9C3E-DF76E94B2638}" name="Department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C37F94-B4EB-46C4-8AFA-2CF8D601DB80}" name="Table6" displayName="Table6" ref="D68:F71" totalsRowShown="0">
  <autoFilter ref="D68:F71" xr:uid="{40C37F94-B4EB-46C4-8AFA-2CF8D601DB80}"/>
  <tableColumns count="3">
    <tableColumn id="1" xr3:uid="{969B933E-768F-496D-9187-D9426143C13F}" name="Employee Name"/>
    <tableColumn id="2" xr3:uid="{2FAF4AC7-29A7-40E1-86D6-2650204288FF}" name="Leaves Taken"/>
    <tableColumn id="3" xr3:uid="{CAD6EABF-6F72-4C6E-A36C-ADD659D6754C}" name="Leaves Allow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57CA0C-8E49-431F-9098-0828A295442B}" name="Table7" displayName="Table7" ref="D82:E86" totalsRowShown="0" headerRowDxfId="0" headerRowBorderDxfId="4" tableBorderDxfId="5" totalsRowBorderDxfId="3">
  <autoFilter ref="D82:E86" xr:uid="{1557CA0C-8E49-431F-9098-0828A295442B}"/>
  <tableColumns count="2">
    <tableColumn id="1" xr3:uid="{51601C6D-CCF7-4B17-8274-EBDCCBF42B9E}" name="EmpID" dataDxfId="2"/>
    <tableColumn id="2" xr3:uid="{2546E101-1698-4515-8E2D-77A73C3904CA}" name="Sala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1D78-5409-4D61-96A4-937241D35C10}">
  <dimension ref="C4:N99"/>
  <sheetViews>
    <sheetView tabSelected="1" topLeftCell="A67" workbookViewId="0">
      <selection activeCell="J10" sqref="J10"/>
    </sheetView>
  </sheetViews>
  <sheetFormatPr defaultRowHeight="15" x14ac:dyDescent="0.25"/>
  <cols>
    <col min="4" max="4" width="17.7109375" customWidth="1"/>
    <col min="5" max="5" width="14.85546875" customWidth="1"/>
    <col min="6" max="6" width="18.42578125" customWidth="1"/>
  </cols>
  <sheetData>
    <row r="4" spans="3:14" ht="27.75" customHeight="1" x14ac:dyDescent="0.25">
      <c r="C4">
        <v>1</v>
      </c>
      <c r="D4" s="5" t="s">
        <v>26</v>
      </c>
      <c r="E4" s="5"/>
      <c r="F4" s="5"/>
      <c r="G4" s="5"/>
      <c r="H4" s="5"/>
      <c r="I4" s="5"/>
      <c r="J4" s="5"/>
      <c r="K4" s="5"/>
      <c r="L4" s="5"/>
      <c r="M4" s="5"/>
      <c r="N4" s="5"/>
    </row>
    <row r="6" spans="3:14" x14ac:dyDescent="0.25">
      <c r="C6" t="s">
        <v>0</v>
      </c>
      <c r="D6" s="8" t="s">
        <v>2</v>
      </c>
      <c r="E6" s="7" t="s">
        <v>1</v>
      </c>
    </row>
    <row r="7" spans="3:14" x14ac:dyDescent="0.25">
      <c r="D7" s="9" t="s">
        <v>3</v>
      </c>
      <c r="E7" s="16">
        <v>45</v>
      </c>
      <c r="F7" s="17" t="str">
        <f>IF(E7&gt;=40, "PASS", "FAIL")</f>
        <v>PASS</v>
      </c>
    </row>
    <row r="8" spans="3:14" x14ac:dyDescent="0.25">
      <c r="D8" s="9" t="s">
        <v>4</v>
      </c>
      <c r="E8" s="16">
        <v>72</v>
      </c>
      <c r="F8" s="17" t="str">
        <f t="shared" ref="F8:F11" si="0">IF(E8&gt;=40, "PASS", "FAIL")</f>
        <v>PASS</v>
      </c>
    </row>
    <row r="9" spans="3:14" x14ac:dyDescent="0.25">
      <c r="D9" s="9" t="s">
        <v>5</v>
      </c>
      <c r="E9" s="16">
        <v>55</v>
      </c>
      <c r="F9" s="17" t="str">
        <f t="shared" si="0"/>
        <v>PASS</v>
      </c>
    </row>
    <row r="10" spans="3:14" x14ac:dyDescent="0.25">
      <c r="D10" s="9" t="s">
        <v>6</v>
      </c>
      <c r="E10" s="16">
        <v>80</v>
      </c>
      <c r="F10" s="17" t="str">
        <f t="shared" si="0"/>
        <v>PASS</v>
      </c>
    </row>
    <row r="11" spans="3:14" x14ac:dyDescent="0.25">
      <c r="D11" s="12" t="s">
        <v>7</v>
      </c>
      <c r="E11" s="15">
        <v>30</v>
      </c>
      <c r="F11" s="17" t="str">
        <f t="shared" si="0"/>
        <v>FAIL</v>
      </c>
    </row>
    <row r="13" spans="3:14" x14ac:dyDescent="0.25">
      <c r="D13" t="s">
        <v>9</v>
      </c>
      <c r="E13" t="s">
        <v>8</v>
      </c>
    </row>
    <row r="16" spans="3:14" ht="32.25" customHeight="1" x14ac:dyDescent="0.25">
      <c r="C16">
        <v>2</v>
      </c>
      <c r="D16" s="5" t="s">
        <v>25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8" spans="3:10" x14ac:dyDescent="0.25">
      <c r="C18" t="s">
        <v>0</v>
      </c>
      <c r="D18" s="8" t="s">
        <v>10</v>
      </c>
      <c r="E18" s="11" t="s">
        <v>11</v>
      </c>
      <c r="F18" s="7" t="s">
        <v>12</v>
      </c>
    </row>
    <row r="19" spans="3:10" x14ac:dyDescent="0.25">
      <c r="D19" s="9" t="s">
        <v>13</v>
      </c>
      <c r="E19" s="1">
        <v>55000</v>
      </c>
      <c r="F19" s="16">
        <v>95</v>
      </c>
      <c r="G19" s="17" t="str">
        <f>IF(AND(E19&gt;40000,F19&gt;=90), "BONUS", "NO BONUS")</f>
        <v>BONUS</v>
      </c>
    </row>
    <row r="20" spans="3:10" x14ac:dyDescent="0.25">
      <c r="D20" s="9" t="s">
        <v>14</v>
      </c>
      <c r="E20" s="1">
        <v>65000</v>
      </c>
      <c r="F20" s="16">
        <v>85</v>
      </c>
      <c r="G20" s="17" t="str">
        <f t="shared" ref="G20:G22" si="1">IF(AND(E20&gt;40000,F20&gt;=90), "BONUS", "NO BONUS")</f>
        <v>NO BONUS</v>
      </c>
    </row>
    <row r="21" spans="3:10" x14ac:dyDescent="0.25">
      <c r="D21" s="9" t="s">
        <v>15</v>
      </c>
      <c r="E21" s="1">
        <v>30000</v>
      </c>
      <c r="F21" s="16">
        <v>90</v>
      </c>
      <c r="G21" s="17" t="str">
        <f t="shared" si="1"/>
        <v>NO BONUS</v>
      </c>
    </row>
    <row r="22" spans="3:10" x14ac:dyDescent="0.25">
      <c r="D22" s="12" t="s">
        <v>16</v>
      </c>
      <c r="E22" s="13">
        <v>25000</v>
      </c>
      <c r="F22" s="15">
        <v>65</v>
      </c>
      <c r="G22" s="17" t="str">
        <f t="shared" si="1"/>
        <v>NO BONUS</v>
      </c>
    </row>
    <row r="24" spans="3:10" x14ac:dyDescent="0.25">
      <c r="D24" t="s">
        <v>9</v>
      </c>
      <c r="E24" t="s">
        <v>17</v>
      </c>
    </row>
    <row r="27" spans="3:10" x14ac:dyDescent="0.25">
      <c r="C27">
        <v>3</v>
      </c>
      <c r="D27" s="4" t="s">
        <v>18</v>
      </c>
      <c r="E27" s="4"/>
      <c r="F27" s="4"/>
    </row>
    <row r="28" spans="3:10" x14ac:dyDescent="0.25">
      <c r="D28" s="4" t="s">
        <v>24</v>
      </c>
      <c r="E28" s="4"/>
      <c r="F28" s="4"/>
      <c r="G28" s="4"/>
      <c r="H28" s="4"/>
      <c r="I28" s="4"/>
      <c r="J28" s="4"/>
    </row>
    <row r="30" spans="3:10" x14ac:dyDescent="0.25">
      <c r="C30" t="s">
        <v>0</v>
      </c>
      <c r="D30" s="8" t="s">
        <v>2</v>
      </c>
      <c r="E30" s="7" t="s">
        <v>1</v>
      </c>
    </row>
    <row r="31" spans="3:10" x14ac:dyDescent="0.25">
      <c r="D31" s="9" t="s">
        <v>19</v>
      </c>
      <c r="E31" s="16">
        <v>85</v>
      </c>
      <c r="F31" s="17" t="str" cm="1">
        <f t="array" ref="F31">_xlfn.IFS(E31&gt;=90, "A", E31&gt;=75, "B", E31&gt;=50, "C", E31&lt;50, "FAIL")</f>
        <v>B</v>
      </c>
    </row>
    <row r="32" spans="3:10" x14ac:dyDescent="0.25">
      <c r="D32" s="9" t="s">
        <v>20</v>
      </c>
      <c r="E32" s="16">
        <v>96</v>
      </c>
      <c r="F32" s="17" t="str" cm="1">
        <f t="array" ref="F32">_xlfn.IFS(E32&gt;=90, "A", E32&gt;=75, "B", E32&gt;=50, "C", E32&lt;50, "FAIL")</f>
        <v>A</v>
      </c>
    </row>
    <row r="33" spans="3:8" x14ac:dyDescent="0.25">
      <c r="D33" s="9" t="s">
        <v>21</v>
      </c>
      <c r="E33" s="16">
        <v>57</v>
      </c>
      <c r="F33" s="17" t="str" cm="1">
        <f t="array" ref="F33">_xlfn.IFS(E33&gt;=90, "A", E33&gt;=75, "B", E33&gt;=50, "C", E33&lt;50, "FAIL")</f>
        <v>C</v>
      </c>
    </row>
    <row r="34" spans="3:8" x14ac:dyDescent="0.25">
      <c r="D34" s="9" t="s">
        <v>22</v>
      </c>
      <c r="E34" s="16">
        <v>92</v>
      </c>
      <c r="F34" s="17" t="str" cm="1">
        <f t="array" ref="F34">_xlfn.IFS(E34&gt;=90, "A", E34&gt;=75, "B", E34&gt;=50, "C", E34&lt;50, "FAIL")</f>
        <v>A</v>
      </c>
    </row>
    <row r="35" spans="3:8" x14ac:dyDescent="0.25">
      <c r="D35" s="12" t="s">
        <v>23</v>
      </c>
      <c r="E35" s="15">
        <v>75</v>
      </c>
      <c r="F35" s="17" t="str" cm="1">
        <f t="array" ref="F35">_xlfn.IFS(E35&gt;=90, "A", E35&gt;=75, "B", E35&gt;=50, "C", E35&lt;50, "FAIL")</f>
        <v>B</v>
      </c>
    </row>
    <row r="37" spans="3:8" x14ac:dyDescent="0.25">
      <c r="D37" t="s">
        <v>9</v>
      </c>
      <c r="E37" t="s">
        <v>27</v>
      </c>
    </row>
    <row r="40" spans="3:8" x14ac:dyDescent="0.25">
      <c r="C40">
        <v>4</v>
      </c>
      <c r="D40" t="s">
        <v>28</v>
      </c>
    </row>
    <row r="42" spans="3:8" x14ac:dyDescent="0.25">
      <c r="C42" t="s">
        <v>0</v>
      </c>
      <c r="D42" s="8" t="s">
        <v>29</v>
      </c>
      <c r="E42" s="11" t="s">
        <v>30</v>
      </c>
      <c r="F42" s="7" t="s">
        <v>31</v>
      </c>
    </row>
    <row r="43" spans="3:8" x14ac:dyDescent="0.25">
      <c r="D43" s="9" t="s">
        <v>32</v>
      </c>
      <c r="E43" s="1" t="s">
        <v>5</v>
      </c>
      <c r="F43" s="16" t="s">
        <v>38</v>
      </c>
      <c r="G43" s="17" t="str">
        <f>LOOKUP(H44,$D43:$D46,$F43:$F46)</f>
        <v>Finance</v>
      </c>
    </row>
    <row r="44" spans="3:8" x14ac:dyDescent="0.25">
      <c r="D44" s="9" t="s">
        <v>33</v>
      </c>
      <c r="E44" s="1" t="s">
        <v>3</v>
      </c>
      <c r="F44" s="16" t="s">
        <v>39</v>
      </c>
      <c r="H44" t="s">
        <v>34</v>
      </c>
    </row>
    <row r="45" spans="3:8" x14ac:dyDescent="0.25">
      <c r="D45" s="9" t="s">
        <v>34</v>
      </c>
      <c r="E45" s="1" t="s">
        <v>36</v>
      </c>
      <c r="F45" s="16" t="s">
        <v>40</v>
      </c>
    </row>
    <row r="46" spans="3:8" x14ac:dyDescent="0.25">
      <c r="D46" s="12" t="s">
        <v>35</v>
      </c>
      <c r="E46" s="13" t="s">
        <v>37</v>
      </c>
      <c r="F46" s="15" t="s">
        <v>11</v>
      </c>
    </row>
    <row r="49" spans="3:14" x14ac:dyDescent="0.25">
      <c r="D49" t="s">
        <v>9</v>
      </c>
      <c r="E49" t="s">
        <v>41</v>
      </c>
    </row>
    <row r="50" spans="3:14" ht="28.5" customHeight="1" x14ac:dyDescent="0.25">
      <c r="D50" s="5" t="s">
        <v>42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3" spans="3:14" x14ac:dyDescent="0.25">
      <c r="C53">
        <v>5</v>
      </c>
      <c r="D53" s="4" t="s">
        <v>43</v>
      </c>
      <c r="E53" s="4"/>
      <c r="F53" s="4"/>
      <c r="G53" s="4"/>
      <c r="H53" s="4"/>
      <c r="I53" s="4"/>
      <c r="J53" s="4"/>
    </row>
    <row r="55" spans="3:14" x14ac:dyDescent="0.25">
      <c r="C55" t="s">
        <v>0</v>
      </c>
      <c r="D55" s="8" t="s">
        <v>44</v>
      </c>
      <c r="E55" s="7" t="s">
        <v>45</v>
      </c>
    </row>
    <row r="56" spans="3:14" x14ac:dyDescent="0.25">
      <c r="D56" s="9">
        <v>0</v>
      </c>
      <c r="E56" s="10">
        <v>0.05</v>
      </c>
    </row>
    <row r="57" spans="3:14" x14ac:dyDescent="0.25">
      <c r="D57" s="9">
        <v>20000</v>
      </c>
      <c r="E57" s="10">
        <v>0.1</v>
      </c>
      <c r="G57">
        <v>45000</v>
      </c>
    </row>
    <row r="58" spans="3:14" x14ac:dyDescent="0.25">
      <c r="D58" s="9">
        <v>50000</v>
      </c>
      <c r="E58" s="10">
        <v>0.15</v>
      </c>
    </row>
    <row r="59" spans="3:14" x14ac:dyDescent="0.25">
      <c r="D59" s="12">
        <v>80000</v>
      </c>
      <c r="E59" s="14">
        <v>0.2</v>
      </c>
    </row>
    <row r="60" spans="3:14" ht="27" customHeight="1" x14ac:dyDescent="0.25">
      <c r="D60" s="5" t="s">
        <v>46</v>
      </c>
      <c r="E60" s="5"/>
      <c r="F60" s="5"/>
      <c r="G60" s="5"/>
      <c r="H60" s="5"/>
      <c r="I60" s="5"/>
      <c r="J60" s="5"/>
      <c r="K60" s="5"/>
      <c r="L60" s="3"/>
      <c r="M60" s="3"/>
      <c r="N60" s="3"/>
    </row>
    <row r="62" spans="3:14" x14ac:dyDescent="0.25">
      <c r="D62" s="17">
        <f>VLOOKUP(G57,Table1[],2,TRUE)</f>
        <v>0.1</v>
      </c>
      <c r="E62" s="6">
        <v>0.1</v>
      </c>
    </row>
    <row r="63" spans="3:14" x14ac:dyDescent="0.25">
      <c r="D63" t="s">
        <v>9</v>
      </c>
      <c r="E63" t="s">
        <v>47</v>
      </c>
    </row>
    <row r="66" spans="3:10" x14ac:dyDescent="0.25">
      <c r="C66">
        <v>6</v>
      </c>
      <c r="D66" s="4" t="s">
        <v>48</v>
      </c>
      <c r="E66" s="4"/>
      <c r="F66" s="4"/>
      <c r="G66" s="4"/>
      <c r="H66" s="4"/>
    </row>
    <row r="68" spans="3:10" x14ac:dyDescent="0.25">
      <c r="D68" t="s">
        <v>49</v>
      </c>
      <c r="E68" t="s">
        <v>53</v>
      </c>
      <c r="F68" t="s">
        <v>54</v>
      </c>
    </row>
    <row r="69" spans="3:10" x14ac:dyDescent="0.25">
      <c r="D69" t="s">
        <v>50</v>
      </c>
      <c r="E69">
        <v>10</v>
      </c>
      <c r="F69">
        <v>12</v>
      </c>
      <c r="G69" s="17" t="str">
        <f>IF(E69&gt;F69, "Exceeded", "OK")</f>
        <v>OK</v>
      </c>
    </row>
    <row r="70" spans="3:10" x14ac:dyDescent="0.25">
      <c r="D70" t="s">
        <v>51</v>
      </c>
      <c r="E70">
        <v>10</v>
      </c>
      <c r="F70">
        <v>15</v>
      </c>
      <c r="G70" s="17" t="str">
        <f t="shared" ref="G70:G71" si="2">IF(E70&gt;F70, "Exceeded", "OK")</f>
        <v>OK</v>
      </c>
    </row>
    <row r="71" spans="3:10" x14ac:dyDescent="0.25">
      <c r="D71" t="s">
        <v>52</v>
      </c>
      <c r="E71">
        <v>8</v>
      </c>
      <c r="F71">
        <v>12</v>
      </c>
      <c r="G71" s="17" t="str">
        <f t="shared" si="2"/>
        <v>OK</v>
      </c>
    </row>
    <row r="73" spans="3:10" x14ac:dyDescent="0.25">
      <c r="D73" s="4" t="s">
        <v>56</v>
      </c>
      <c r="E73" s="4"/>
      <c r="F73" s="4"/>
      <c r="G73" s="4"/>
      <c r="H73" s="4"/>
      <c r="I73" s="4"/>
      <c r="J73" s="4"/>
    </row>
    <row r="74" spans="3:10" x14ac:dyDescent="0.25">
      <c r="D74" t="s">
        <v>55</v>
      </c>
    </row>
    <row r="75" spans="3:10" x14ac:dyDescent="0.25">
      <c r="D75" t="s">
        <v>57</v>
      </c>
    </row>
    <row r="77" spans="3:10" x14ac:dyDescent="0.25">
      <c r="D77" t="s">
        <v>9</v>
      </c>
      <c r="E77" t="s">
        <v>58</v>
      </c>
    </row>
    <row r="80" spans="3:10" x14ac:dyDescent="0.25">
      <c r="C80">
        <v>7</v>
      </c>
      <c r="D80" s="4" t="s">
        <v>59</v>
      </c>
      <c r="E80" s="4"/>
      <c r="F80" s="4"/>
      <c r="G80" s="4"/>
    </row>
    <row r="82" spans="3:6" x14ac:dyDescent="0.25">
      <c r="C82" t="s">
        <v>0</v>
      </c>
      <c r="D82" s="8" t="s">
        <v>29</v>
      </c>
      <c r="E82" s="7" t="s">
        <v>60</v>
      </c>
    </row>
    <row r="83" spans="3:6" x14ac:dyDescent="0.25">
      <c r="D83" s="9" t="s">
        <v>35</v>
      </c>
      <c r="E83" s="16">
        <v>55000</v>
      </c>
    </row>
    <row r="84" spans="3:6" x14ac:dyDescent="0.25">
      <c r="D84" s="9" t="s">
        <v>61</v>
      </c>
      <c r="E84" s="16">
        <v>72000</v>
      </c>
      <c r="F84" t="s">
        <v>61</v>
      </c>
    </row>
    <row r="85" spans="3:6" x14ac:dyDescent="0.25">
      <c r="D85" s="9" t="s">
        <v>62</v>
      </c>
      <c r="E85" s="16">
        <v>62000</v>
      </c>
      <c r="F85" s="17">
        <f>INDEX(E83:E86,MATCH(F84,D83:D86,0))</f>
        <v>72000</v>
      </c>
    </row>
    <row r="86" spans="3:6" x14ac:dyDescent="0.25">
      <c r="D86" s="12" t="s">
        <v>33</v>
      </c>
      <c r="E86" s="15">
        <v>41000</v>
      </c>
    </row>
    <row r="88" spans="3:6" x14ac:dyDescent="0.25">
      <c r="D88" t="s">
        <v>9</v>
      </c>
      <c r="E88" t="s">
        <v>63</v>
      </c>
    </row>
    <row r="91" spans="3:6" x14ac:dyDescent="0.25">
      <c r="C91">
        <v>8</v>
      </c>
      <c r="D91" t="s">
        <v>64</v>
      </c>
    </row>
    <row r="93" spans="3:6" x14ac:dyDescent="0.25">
      <c r="D93" s="2" t="s">
        <v>29</v>
      </c>
      <c r="E93" s="2" t="s">
        <v>31</v>
      </c>
    </row>
    <row r="94" spans="3:6" x14ac:dyDescent="0.25">
      <c r="D94" s="1" t="s">
        <v>32</v>
      </c>
      <c r="E94" s="1" t="s">
        <v>39</v>
      </c>
      <c r="F94" t="s">
        <v>65</v>
      </c>
    </row>
    <row r="95" spans="3:6" x14ac:dyDescent="0.25">
      <c r="D95" s="1" t="s">
        <v>65</v>
      </c>
      <c r="E95" s="1" t="s">
        <v>38</v>
      </c>
      <c r="F95" s="17" t="str">
        <f>_xlfn.XLOOKUP(F94,D94:D97,E94:E97,,0)</f>
        <v>IT</v>
      </c>
    </row>
    <row r="96" spans="3:6" x14ac:dyDescent="0.25">
      <c r="D96" s="1" t="s">
        <v>62</v>
      </c>
      <c r="E96" s="1" t="s">
        <v>11</v>
      </c>
    </row>
    <row r="97" spans="4:5" x14ac:dyDescent="0.25">
      <c r="D97" s="1" t="s">
        <v>66</v>
      </c>
      <c r="E97" s="1" t="s">
        <v>40</v>
      </c>
    </row>
    <row r="99" spans="4:5" x14ac:dyDescent="0.25">
      <c r="D99" t="s">
        <v>9</v>
      </c>
      <c r="E99" t="s">
        <v>67</v>
      </c>
    </row>
  </sheetData>
  <mergeCells count="10">
    <mergeCell ref="D66:H66"/>
    <mergeCell ref="D73:J73"/>
    <mergeCell ref="D80:G80"/>
    <mergeCell ref="D60:K60"/>
    <mergeCell ref="D4:N4"/>
    <mergeCell ref="D16:N16"/>
    <mergeCell ref="D27:F27"/>
    <mergeCell ref="D28:J28"/>
    <mergeCell ref="D53:J53"/>
    <mergeCell ref="D50:N50"/>
  </mergeCell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2025-12-23T16:42:40Z</dcterms:created>
  <dcterms:modified xsi:type="dcterms:W3CDTF">2025-12-23T18:20:25Z</dcterms:modified>
</cp:coreProperties>
</file>