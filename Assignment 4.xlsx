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ink/ink1.xml" ContentType="application/inkml+xml"/>
  <Override PartName="/xl/ink/ink2.xml" ContentType="application/inkml+xml"/>
  <Override PartName="/xl/ink/ink3.xml" ContentType="application/inkml+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F:\PW Data Analytics files\Assignments\"/>
    </mc:Choice>
  </mc:AlternateContent>
  <xr:revisionPtr revIDLastSave="0" documentId="8_{25062ED4-8E60-4930-A115-EC35F3BEC7CD}" xr6:coauthVersionLast="47" xr6:coauthVersionMax="47" xr10:uidLastSave="{00000000-0000-0000-0000-000000000000}"/>
  <bookViews>
    <workbookView xWindow="-120" yWindow="-120" windowWidth="29040" windowHeight="15840" xr2:uid="{C53DCB6F-57CE-4183-BDDD-3DB2F63BFCEF}"/>
  </bookViews>
  <sheets>
    <sheet name="Dataset" sheetId="1" r:id="rId1"/>
    <sheet name="Answers" sheetId="2" r:id="rId2"/>
  </sheets>
  <definedNames>
    <definedName name="Slicer_Product">#N/A</definedName>
    <definedName name="Slicer_Product1">#N/A</definedName>
  </definedNames>
  <calcPr calcId="191029"/>
  <pivotCaches>
    <pivotCache cacheId="38" r:id="rId3"/>
    <pivotCache cacheId="45"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99" i="2" l="1"/>
  <c r="E200" i="2"/>
  <c r="E201" i="2"/>
  <c r="E202" i="2"/>
  <c r="E203" i="2"/>
  <c r="E204" i="2"/>
  <c r="E205" i="2"/>
  <c r="E206" i="2"/>
  <c r="E207" i="2"/>
  <c r="E208" i="2"/>
  <c r="E209" i="2"/>
  <c r="E210" i="2"/>
  <c r="E211" i="2"/>
  <c r="E212" i="2"/>
  <c r="E213" i="2"/>
  <c r="E214" i="2"/>
  <c r="E215" i="2"/>
  <c r="E216" i="2"/>
  <c r="E217" i="2"/>
  <c r="E198" i="2"/>
</calcChain>
</file>

<file path=xl/sharedStrings.xml><?xml version="1.0" encoding="utf-8"?>
<sst xmlns="http://schemas.openxmlformats.org/spreadsheetml/2006/main" count="229" uniqueCount="50">
  <si>
    <t>Date</t>
  </si>
  <si>
    <t>Region</t>
  </si>
  <si>
    <t>Product</t>
  </si>
  <si>
    <t>Sales</t>
  </si>
  <si>
    <t>Quantity</t>
  </si>
  <si>
    <t>West</t>
  </si>
  <si>
    <t>Mangoes</t>
  </si>
  <si>
    <t>South</t>
  </si>
  <si>
    <t>Oranges</t>
  </si>
  <si>
    <t>Apples</t>
  </si>
  <si>
    <t>East</t>
  </si>
  <si>
    <t>North</t>
  </si>
  <si>
    <t>What is the purpose of a PivotTable in Excel?</t>
  </si>
  <si>
    <t>Ans</t>
  </si>
  <si>
    <t>A pivot table is a type of table which gives the user an easy way of understanding large datasets. A user can summarize, analyze, and explore large datasets quickly and interactively using a pivot table to find insights on the large data for making reports.</t>
  </si>
  <si>
    <t>Create a PivotTable to show Total Sales by Region.</t>
  </si>
  <si>
    <t>Row Labels</t>
  </si>
  <si>
    <t>Grand Total</t>
  </si>
  <si>
    <t>Sum of Sales</t>
  </si>
  <si>
    <t>Apply Conditional Formatting to highlight sales greater than 400.</t>
  </si>
  <si>
    <t>Explain the difference between Sorting and Filtering with an example from this dataset.</t>
  </si>
  <si>
    <t>Sorting and Filtering is a way of viewing a data in a specific way as the condition demands.</t>
  </si>
  <si>
    <t>Although the difference between the two is,</t>
  </si>
  <si>
    <t>1) Sorting manipulates the data by rearranging the values in it according to the condition.</t>
  </si>
  <si>
    <t>2) Filtering just shows you the data which is required according to the condition by hiding the other irrelevant data, without rearranging the values inside the data</t>
  </si>
  <si>
    <t>e.g. of Sorting</t>
  </si>
  <si>
    <t>Sales is sorted from lowest to highest</t>
  </si>
  <si>
    <t>e.g. of Filtering</t>
  </si>
  <si>
    <t>Product is filtered to show only Mangoes</t>
  </si>
  <si>
    <t>Create a PivotChart showing Monthly Sales Trend.</t>
  </si>
  <si>
    <t>Jan</t>
  </si>
  <si>
    <t>Feb</t>
  </si>
  <si>
    <t>Mar</t>
  </si>
  <si>
    <t>Apr</t>
  </si>
  <si>
    <t>May</t>
  </si>
  <si>
    <t>Jun</t>
  </si>
  <si>
    <t>Why are Dashboards important for decision-making in business analysis?</t>
  </si>
  <si>
    <t>Dashboards are a must for every company, because they are critical components for business analysts, managers, directors and leaders to make informed decisions about the company and its products and services.</t>
  </si>
  <si>
    <t>They translate complex raw data into valuable insights for simple understanding and actionable next steps to be implemented.</t>
  </si>
  <si>
    <t>Create a Dashboard that includes:</t>
  </si>
  <si>
    <t>Sales by Region (PivotTable + Chart)</t>
  </si>
  <si>
    <t>Product Filter (Slicer)</t>
  </si>
  <si>
    <t>Monthly Trend (Line Chart)</t>
  </si>
  <si>
    <t>Group dates in the PivotTable into Months and calculate the average sales per month.</t>
  </si>
  <si>
    <t>Average of Sales</t>
  </si>
  <si>
    <t>Combine Apples and Oranges into one group called Fruits and compare its sales with other products.</t>
  </si>
  <si>
    <t>Category</t>
  </si>
  <si>
    <t>Fruits</t>
  </si>
  <si>
    <t>Use a Slicer to filter data by Product and observe changes in sales._x000B_</t>
  </si>
  <si>
    <t>ANSWERS ON SHEET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</si>
</sst>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0">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
      <left/>
      <right style="medium">
        <color rgb="FF000000"/>
      </right>
      <top/>
      <bottom style="medium">
        <color rgb="FF000000"/>
      </bottom>
      <diagonal/>
    </border>
    <border>
      <left style="medium">
        <color rgb="FFCCCCCC"/>
      </left>
      <right style="medium">
        <color rgb="FF000000"/>
      </right>
      <top/>
      <bottom style="medium">
        <color rgb="FF000000"/>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000000"/>
      </left>
      <right style="medium">
        <color rgb="FF000000"/>
      </right>
      <top/>
      <bottom style="medium">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22" fontId="0" fillId="0" borderId="4" xfId="0" applyNumberFormat="1" applyBorder="1" applyAlignment="1">
      <alignment horizontal="right" wrapText="1"/>
    </xf>
    <xf numFmtId="22" fontId="0" fillId="0" borderId="0" xfId="0" applyNumberFormat="1" applyFill="1" applyBorder="1" applyAlignment="1">
      <alignment horizontal="right" wrapText="1"/>
    </xf>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1" fillId="0" borderId="5" xfId="0" applyFont="1" applyBorder="1" applyAlignment="1">
      <alignment horizontal="center" vertical="top" wrapText="1"/>
    </xf>
    <xf numFmtId="0" fontId="0" fillId="0" borderId="5" xfId="0" applyBorder="1" applyAlignment="1">
      <alignment horizontal="right" wrapText="1"/>
    </xf>
    <xf numFmtId="0" fontId="0" fillId="0" borderId="6" xfId="0" applyBorder="1" applyAlignment="1">
      <alignment wrapText="1"/>
    </xf>
    <xf numFmtId="0" fontId="1" fillId="0" borderId="7" xfId="0" applyFont="1" applyBorder="1" applyAlignment="1">
      <alignment horizontal="center" vertical="top" wrapText="1"/>
    </xf>
    <xf numFmtId="0" fontId="1" fillId="0" borderId="8" xfId="0" applyFont="1" applyBorder="1" applyAlignment="1">
      <alignment horizontal="center" vertical="top" wrapText="1"/>
    </xf>
    <xf numFmtId="0" fontId="0" fillId="0" borderId="9" xfId="0" applyBorder="1" applyAlignment="1">
      <alignment wrapText="1"/>
    </xf>
    <xf numFmtId="0" fontId="0" fillId="0" borderId="10" xfId="0" applyBorder="1" applyAlignment="1">
      <alignment horizontal="right" wrapText="1"/>
    </xf>
    <xf numFmtId="0" fontId="0" fillId="0" borderId="0" xfId="0" applyAlignment="1">
      <alignment horizontal="left" indent="1"/>
    </xf>
    <xf numFmtId="0" fontId="1" fillId="0" borderId="11" xfId="0" applyFont="1" applyBorder="1" applyAlignment="1">
      <alignment horizontal="center" vertical="top" wrapText="1"/>
    </xf>
    <xf numFmtId="22" fontId="0" fillId="0" borderId="10" xfId="0" applyNumberFormat="1" applyBorder="1" applyAlignment="1">
      <alignment horizontal="right" wrapText="1"/>
    </xf>
    <xf numFmtId="0" fontId="0" fillId="0" borderId="5" xfId="0" applyBorder="1"/>
    <xf numFmtId="0" fontId="0" fillId="0" borderId="12" xfId="0" applyBorder="1" applyAlignment="1">
      <alignment wrapText="1"/>
    </xf>
    <xf numFmtId="0" fontId="0" fillId="0" borderId="13" xfId="0" applyBorder="1" applyAlignment="1">
      <alignment horizontal="right" wrapText="1"/>
    </xf>
    <xf numFmtId="0" fontId="1" fillId="0" borderId="14" xfId="0" applyFont="1" applyBorder="1" applyAlignment="1">
      <alignment horizontal="center" vertical="top" wrapText="1"/>
    </xf>
    <xf numFmtId="0" fontId="1" fillId="0" borderId="15" xfId="0" applyFont="1" applyBorder="1" applyAlignment="1">
      <alignment horizontal="center"/>
    </xf>
    <xf numFmtId="0" fontId="1" fillId="0" borderId="16" xfId="0" applyFont="1" applyBorder="1" applyAlignment="1">
      <alignment horizontal="center" vertical="top" wrapText="1"/>
    </xf>
    <xf numFmtId="0" fontId="0" fillId="0" borderId="17" xfId="0" applyBorder="1" applyAlignment="1">
      <alignment wrapText="1"/>
    </xf>
    <xf numFmtId="0" fontId="0" fillId="0" borderId="18" xfId="0" applyBorder="1"/>
    <xf numFmtId="0" fontId="0" fillId="0" borderId="19" xfId="0" applyBorder="1" applyAlignment="1">
      <alignment horizontal="right" wrapText="1"/>
    </xf>
    <xf numFmtId="0" fontId="0" fillId="2" borderId="0" xfId="0" applyFill="1"/>
    <xf numFmtId="0" fontId="2" fillId="0" borderId="0" xfId="0" applyFont="1"/>
  </cellXfs>
  <cellStyles count="1">
    <cellStyle name="Normal" xfId="0" builtinId="0"/>
  </cellStyles>
  <dxfs count="36">
    <dxf>
      <alignment horizontal="right" vertical="bottom" textRotation="0" wrapText="1" indent="0" justifyLastLine="0" shrinkToFit="0" readingOrder="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color rgb="FF006100"/>
      </font>
      <fill>
        <patternFill>
          <bgColor rgb="FFC6EFCE"/>
        </patternFill>
      </fill>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medium">
          <color rgb="FF000000"/>
        </left>
        <right style="medium">
          <color rgb="FF000000"/>
        </right>
        <top/>
        <bottom/>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dd/mm/yyyy\ h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bottom style="medium">
          <color rgb="FF000000"/>
        </bottom>
      </border>
    </dxf>
    <dxf>
      <border outline="0">
        <top style="medium">
          <color rgb="FF000000"/>
        </top>
        <bottom style="medium">
          <color rgb="FFCCCCCC"/>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000000"/>
        </bottom>
      </border>
    </dxf>
    <dxf>
      <border outline="0">
        <left style="medium">
          <color rgb="FFCCCCCC"/>
        </left>
        <top style="medium">
          <color rgb="FF000000"/>
        </top>
        <bottom style="medium">
          <color rgb="FFCCCCCC"/>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medium">
          <color rgb="FF000000"/>
        </left>
        <right style="medium">
          <color rgb="FF000000"/>
        </right>
        <top/>
        <bottom/>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000000"/>
        </bottom>
      </border>
    </dxf>
    <dxf>
      <border outline="0">
        <left style="medium">
          <color rgb="FFCCCCCC"/>
        </left>
        <top style="medium">
          <color rgb="FF000000"/>
        </top>
        <bottom style="medium">
          <color rgb="FFCCCCCC"/>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000000"/>
        </bottom>
      </border>
    </dxf>
    <dxf>
      <border outline="0">
        <left style="medium">
          <color rgb="FFCCCCCC"/>
        </left>
        <top style="medium">
          <color rgb="FF000000"/>
        </top>
        <bottom style="medium">
          <color rgb="FFCCCCCC"/>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medium">
          <color rgb="FF000000"/>
        </left>
        <right style="medium">
          <color rgb="FF000000"/>
        </right>
        <top/>
        <bottom/>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000000"/>
        </bottom>
      </border>
    </dxf>
    <dxf>
      <border outline="0">
        <left style="medium">
          <color rgb="FFCCCCCC"/>
        </left>
        <top style="medium">
          <color rgb="FF000000"/>
        </top>
        <bottom style="medium">
          <color rgb="FFCCCCCC"/>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4.xlsx]Answers!PivotTable3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Answers!$E$98</c:f>
              <c:strCache>
                <c:ptCount val="1"/>
                <c:pt idx="0">
                  <c:v>Total</c:v>
                </c:pt>
              </c:strCache>
            </c:strRef>
          </c:tx>
          <c:spPr>
            <a:solidFill>
              <a:schemeClr val="accent1"/>
            </a:solidFill>
            <a:ln>
              <a:noFill/>
            </a:ln>
            <a:effectLst/>
          </c:spPr>
          <c:invertIfNegative val="0"/>
          <c:cat>
            <c:strRef>
              <c:f>Answers!$D$99:$D$105</c:f>
              <c:strCache>
                <c:ptCount val="6"/>
                <c:pt idx="0">
                  <c:v>Jan</c:v>
                </c:pt>
                <c:pt idx="1">
                  <c:v>Feb</c:v>
                </c:pt>
                <c:pt idx="2">
                  <c:v>Mar</c:v>
                </c:pt>
                <c:pt idx="3">
                  <c:v>Apr</c:v>
                </c:pt>
                <c:pt idx="4">
                  <c:v>May</c:v>
                </c:pt>
                <c:pt idx="5">
                  <c:v>Jun</c:v>
                </c:pt>
              </c:strCache>
            </c:strRef>
          </c:cat>
          <c:val>
            <c:numRef>
              <c:f>Answers!$E$99:$E$105</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1-DB97-4550-BD62-E19CD35AE4D5}"/>
            </c:ext>
          </c:extLst>
        </c:ser>
        <c:dLbls>
          <c:showLegendKey val="0"/>
          <c:showVal val="0"/>
          <c:showCatName val="0"/>
          <c:showSerName val="0"/>
          <c:showPercent val="0"/>
          <c:showBubbleSize val="0"/>
        </c:dLbls>
        <c:gapWidth val="219"/>
        <c:overlap val="-27"/>
        <c:axId val="986241008"/>
        <c:axId val="986235248"/>
      </c:barChart>
      <c:catAx>
        <c:axId val="98624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235248"/>
        <c:crosses val="autoZero"/>
        <c:auto val="1"/>
        <c:lblAlgn val="ctr"/>
        <c:lblOffset val="100"/>
        <c:noMultiLvlLbl val="0"/>
      </c:catAx>
      <c:valAx>
        <c:axId val="98623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24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4.xlsx]Answers!PivotTable4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Answers!$E$148</c:f>
              <c:strCache>
                <c:ptCount val="1"/>
                <c:pt idx="0">
                  <c:v>Total</c:v>
                </c:pt>
              </c:strCache>
            </c:strRef>
          </c:tx>
          <c:spPr>
            <a:solidFill>
              <a:schemeClr val="accent1"/>
            </a:solidFill>
            <a:ln>
              <a:noFill/>
            </a:ln>
            <a:effectLst/>
          </c:spPr>
          <c:invertIfNegative val="0"/>
          <c:cat>
            <c:strRef>
              <c:f>Answers!$D$149:$D$153</c:f>
              <c:strCache>
                <c:ptCount val="4"/>
                <c:pt idx="0">
                  <c:v>East</c:v>
                </c:pt>
                <c:pt idx="1">
                  <c:v>North</c:v>
                </c:pt>
                <c:pt idx="2">
                  <c:v>South</c:v>
                </c:pt>
                <c:pt idx="3">
                  <c:v>West</c:v>
                </c:pt>
              </c:strCache>
            </c:strRef>
          </c:cat>
          <c:val>
            <c:numRef>
              <c:f>Answers!$E$149:$E$153</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E7ED-4675-A4B4-89B843F1AD74}"/>
            </c:ext>
          </c:extLst>
        </c:ser>
        <c:dLbls>
          <c:showLegendKey val="0"/>
          <c:showVal val="0"/>
          <c:showCatName val="0"/>
          <c:showSerName val="0"/>
          <c:showPercent val="0"/>
          <c:showBubbleSize val="0"/>
        </c:dLbls>
        <c:gapWidth val="219"/>
        <c:overlap val="-27"/>
        <c:axId val="985243776"/>
        <c:axId val="985248096"/>
      </c:barChart>
      <c:catAx>
        <c:axId val="98524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248096"/>
        <c:crosses val="autoZero"/>
        <c:auto val="1"/>
        <c:lblAlgn val="ctr"/>
        <c:lblOffset val="100"/>
        <c:noMultiLvlLbl val="0"/>
      </c:catAx>
      <c:valAx>
        <c:axId val="98524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24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Answers!$J$161</c:f>
              <c:strCache>
                <c:ptCount val="1"/>
                <c:pt idx="0">
                  <c:v>Sales</c:v>
                </c:pt>
              </c:strCache>
            </c:strRef>
          </c:tx>
          <c:spPr>
            <a:ln w="28575" cap="rnd">
              <a:solidFill>
                <a:schemeClr val="accent1"/>
              </a:solidFill>
              <a:round/>
            </a:ln>
            <a:effectLst/>
          </c:spPr>
          <c:marker>
            <c:symbol val="none"/>
          </c:marker>
          <c:cat>
            <c:numRef>
              <c:f>Answers!$I$162:$I$181</c:f>
              <c:numCache>
                <c:formatCode>m/d/yyyy\ h:mm</c:formatCode>
                <c:ptCount val="20"/>
                <c:pt idx="0">
                  <c:v>45292</c:v>
                </c:pt>
                <c:pt idx="1">
                  <c:v>45301</c:v>
                </c:pt>
                <c:pt idx="2">
                  <c:v>45311</c:v>
                </c:pt>
                <c:pt idx="3">
                  <c:v>45320.578946759262</c:v>
                </c:pt>
                <c:pt idx="4">
                  <c:v>45330.105266203704</c:v>
                </c:pt>
                <c:pt idx="5">
                  <c:v>45339.631574074076</c:v>
                </c:pt>
                <c:pt idx="6">
                  <c:v>45349.157893518517</c:v>
                </c:pt>
                <c:pt idx="7">
                  <c:v>45358.684212962966</c:v>
                </c:pt>
                <c:pt idx="8">
                  <c:v>45368.210520833331</c:v>
                </c:pt>
                <c:pt idx="9">
                  <c:v>45377.736840277779</c:v>
                </c:pt>
                <c:pt idx="10">
                  <c:v>45387.263159722221</c:v>
                </c:pt>
                <c:pt idx="11">
                  <c:v>45396.789479166669</c:v>
                </c:pt>
                <c:pt idx="12">
                  <c:v>45406.315787037034</c:v>
                </c:pt>
                <c:pt idx="13">
                  <c:v>45415.842106481483</c:v>
                </c:pt>
                <c:pt idx="14">
                  <c:v>45425.368425925924</c:v>
                </c:pt>
                <c:pt idx="15">
                  <c:v>45434.894733796296</c:v>
                </c:pt>
                <c:pt idx="16">
                  <c:v>45444.421053240738</c:v>
                </c:pt>
                <c:pt idx="17">
                  <c:v>45453.947372685187</c:v>
                </c:pt>
                <c:pt idx="18">
                  <c:v>45463.473680555559</c:v>
                </c:pt>
                <c:pt idx="19">
                  <c:v>45473</c:v>
                </c:pt>
              </c:numCache>
            </c:numRef>
          </c:cat>
          <c:val>
            <c:numRef>
              <c:f>Answers!$J$162:$J$181</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mooth val="0"/>
          <c:extLst>
            <c:ext xmlns:c16="http://schemas.microsoft.com/office/drawing/2014/chart" uri="{C3380CC4-5D6E-409C-BE32-E72D297353CC}">
              <c16:uniqueId val="{00000000-C465-45A9-AC16-8A01CB7B83C9}"/>
            </c:ext>
          </c:extLst>
        </c:ser>
        <c:dLbls>
          <c:dLblPos val="t"/>
          <c:showLegendKey val="0"/>
          <c:showVal val="0"/>
          <c:showCatName val="0"/>
          <c:showSerName val="0"/>
          <c:showPercent val="0"/>
          <c:showBubbleSize val="0"/>
        </c:dLbls>
        <c:smooth val="0"/>
        <c:axId val="1192717312"/>
        <c:axId val="1192717792"/>
      </c:lineChart>
      <c:dateAx>
        <c:axId val="1192717312"/>
        <c:scaling>
          <c:orientation val="minMax"/>
        </c:scaling>
        <c:delete val="0"/>
        <c:axPos val="b"/>
        <c:numFmt formatCode="m/d/yyyy\ h: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717792"/>
        <c:crosses val="autoZero"/>
        <c:auto val="1"/>
        <c:lblOffset val="100"/>
        <c:baseTimeUnit val="days"/>
      </c:dateAx>
      <c:valAx>
        <c:axId val="119271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717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3.xml"/><Relationship Id="rId2" Type="http://schemas.openxmlformats.org/officeDocument/2006/relationships/customXml" Target="../ink/ink1.xml"/><Relationship Id="rId1" Type="http://schemas.openxmlformats.org/officeDocument/2006/relationships/chart" Target="../charts/chart1.xml"/><Relationship Id="rId6" Type="http://schemas.openxmlformats.org/officeDocument/2006/relationships/chart" Target="../charts/chart2.xml"/><Relationship Id="rId5" Type="http://schemas.openxmlformats.org/officeDocument/2006/relationships/customXml" Target="../ink/ink3.xml"/><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xdr:from>
      <xdr:col>6</xdr:col>
      <xdr:colOff>0</xdr:colOff>
      <xdr:row>97</xdr:row>
      <xdr:rowOff>9525</xdr:rowOff>
    </xdr:from>
    <xdr:to>
      <xdr:col>13</xdr:col>
      <xdr:colOff>247650</xdr:colOff>
      <xdr:row>111</xdr:row>
      <xdr:rowOff>85725</xdr:rowOff>
    </xdr:to>
    <xdr:graphicFrame macro="">
      <xdr:nvGraphicFramePr>
        <xdr:cNvPr id="2" name="Chart 1">
          <a:extLst>
            <a:ext uri="{FF2B5EF4-FFF2-40B4-BE49-F238E27FC236}">
              <a16:creationId xmlns:a16="http://schemas.microsoft.com/office/drawing/2014/main" id="{DDD776DB-F200-43D7-8E5B-EF52931A2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704850</xdr:colOff>
      <xdr:row>116</xdr:row>
      <xdr:rowOff>19050</xdr:rowOff>
    </xdr:from>
    <xdr:to>
      <xdr:col>8</xdr:col>
      <xdr:colOff>228600</xdr:colOff>
      <xdr:row>128</xdr:row>
      <xdr:rowOff>142875</xdr:rowOff>
    </xdr:to>
    <mc:AlternateContent xmlns:mc="http://schemas.openxmlformats.org/markup-compatibility/2006">
      <mc:Choice xmlns:sle15="http://schemas.microsoft.com/office/drawing/2012/slicer" Requires="sle15">
        <xdr:graphicFrame macro="">
          <xdr:nvGraphicFramePr>
            <xdr:cNvPr id="3" name="Product">
              <a:extLst>
                <a:ext uri="{FF2B5EF4-FFF2-40B4-BE49-F238E27FC236}">
                  <a16:creationId xmlns:a16="http://schemas.microsoft.com/office/drawing/2014/main" id="{BD12ED04-E2C6-21E1-D95C-04D868321FE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457700" y="20678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3</xdr:col>
      <xdr:colOff>66240</xdr:colOff>
      <xdr:row>144</xdr:row>
      <xdr:rowOff>95040</xdr:rowOff>
    </xdr:from>
    <xdr:to>
      <xdr:col>3</xdr:col>
      <xdr:colOff>66600</xdr:colOff>
      <xdr:row>144</xdr:row>
      <xdr:rowOff>95400</xdr:rowOff>
    </xdr:to>
    <mc:AlternateContent xmlns:mc="http://schemas.openxmlformats.org/markup-compatibility/2006">
      <mc:Choice xmlns:xdr14="http://schemas.microsoft.com/office/excel/2010/spreadsheetDrawing" Requires="xdr14">
        <xdr:contentPart xmlns:r="http://schemas.openxmlformats.org/officeDocument/2006/relationships" r:id="rId2">
          <xdr14:nvContentPartPr>
            <xdr14:cNvPr id="5" name="Ink 4">
              <a:extLst>
                <a:ext uri="{FF2B5EF4-FFF2-40B4-BE49-F238E27FC236}">
                  <a16:creationId xmlns:a16="http://schemas.microsoft.com/office/drawing/2014/main" id="{2E769769-F3B1-9CAA-62DB-5E8B46AD5B15}"/>
                </a:ext>
              </a:extLst>
            </xdr14:cNvPr>
            <xdr14:cNvContentPartPr/>
          </xdr14:nvContentPartPr>
          <xdr14:nvPr macro=""/>
          <xdr14:xfrm>
            <a:off x="1895040" y="26641215"/>
            <a:ext cx="360" cy="360"/>
          </xdr14:xfrm>
        </xdr:contentPart>
      </mc:Choice>
      <mc:Fallback>
        <xdr:pic>
          <xdr:nvPicPr>
            <xdr:cNvPr id="5" name="Ink 4">
              <a:extLst>
                <a:ext uri="{FF2B5EF4-FFF2-40B4-BE49-F238E27FC236}">
                  <a16:creationId xmlns:a16="http://schemas.microsoft.com/office/drawing/2014/main" id="{2E769769-F3B1-9CAA-62DB-5E8B46AD5B15}"/>
                </a:ext>
              </a:extLst>
            </xdr:cNvPr>
            <xdr:cNvPicPr/>
          </xdr:nvPicPr>
          <xdr:blipFill>
            <a:blip xmlns:r="http://schemas.openxmlformats.org/officeDocument/2006/relationships" r:embed="rId3"/>
            <a:stretch>
              <a:fillRect/>
            </a:stretch>
          </xdr:blipFill>
          <xdr:spPr>
            <a:xfrm>
              <a:off x="1886400" y="26632215"/>
              <a:ext cx="18000" cy="18000"/>
            </a:xfrm>
            <a:prstGeom prst="rect">
              <a:avLst/>
            </a:prstGeom>
          </xdr:spPr>
        </xdr:pic>
      </mc:Fallback>
    </mc:AlternateContent>
    <xdr:clientData/>
  </xdr:twoCellAnchor>
  <xdr:twoCellAnchor editAs="oneCell">
    <xdr:from>
      <xdr:col>3</xdr:col>
      <xdr:colOff>66240</xdr:colOff>
      <xdr:row>145</xdr:row>
      <xdr:rowOff>104340</xdr:rowOff>
    </xdr:from>
    <xdr:to>
      <xdr:col>3</xdr:col>
      <xdr:colOff>66600</xdr:colOff>
      <xdr:row>145</xdr:row>
      <xdr:rowOff>104700</xdr:rowOff>
    </xdr:to>
    <mc:AlternateContent xmlns:mc="http://schemas.openxmlformats.org/markup-compatibility/2006">
      <mc:Choice xmlns:xdr14="http://schemas.microsoft.com/office/excel/2010/spreadsheetDrawing" Requires="xdr14">
        <xdr:contentPart xmlns:r="http://schemas.openxmlformats.org/officeDocument/2006/relationships" r:id="rId4">
          <xdr14:nvContentPartPr>
            <xdr14:cNvPr id="6" name="Ink 5">
              <a:extLst>
                <a:ext uri="{FF2B5EF4-FFF2-40B4-BE49-F238E27FC236}">
                  <a16:creationId xmlns:a16="http://schemas.microsoft.com/office/drawing/2014/main" id="{1EF5099D-544C-070E-C36C-CD16225DA1C9}"/>
                </a:ext>
              </a:extLst>
            </xdr14:cNvPr>
            <xdr14:cNvContentPartPr/>
          </xdr14:nvContentPartPr>
          <xdr14:nvPr macro=""/>
          <xdr14:xfrm>
            <a:off x="1895040" y="26841015"/>
            <a:ext cx="360" cy="360"/>
          </xdr14:xfrm>
        </xdr:contentPart>
      </mc:Choice>
      <mc:Fallback>
        <xdr:pic>
          <xdr:nvPicPr>
            <xdr:cNvPr id="6" name="Ink 5">
              <a:extLst>
                <a:ext uri="{FF2B5EF4-FFF2-40B4-BE49-F238E27FC236}">
                  <a16:creationId xmlns:a16="http://schemas.microsoft.com/office/drawing/2014/main" id="{1EF5099D-544C-070E-C36C-CD16225DA1C9}"/>
                </a:ext>
              </a:extLst>
            </xdr:cNvPr>
            <xdr:cNvPicPr/>
          </xdr:nvPicPr>
          <xdr:blipFill>
            <a:blip xmlns:r="http://schemas.openxmlformats.org/officeDocument/2006/relationships" r:embed="rId3"/>
            <a:stretch>
              <a:fillRect/>
            </a:stretch>
          </xdr:blipFill>
          <xdr:spPr>
            <a:xfrm>
              <a:off x="1886400" y="26832015"/>
              <a:ext cx="18000" cy="18000"/>
            </a:xfrm>
            <a:prstGeom prst="rect">
              <a:avLst/>
            </a:prstGeom>
          </xdr:spPr>
        </xdr:pic>
      </mc:Fallback>
    </mc:AlternateContent>
    <xdr:clientData/>
  </xdr:twoCellAnchor>
  <xdr:twoCellAnchor editAs="oneCell">
    <xdr:from>
      <xdr:col>3</xdr:col>
      <xdr:colOff>75960</xdr:colOff>
      <xdr:row>146</xdr:row>
      <xdr:rowOff>114000</xdr:rowOff>
    </xdr:from>
    <xdr:to>
      <xdr:col>3</xdr:col>
      <xdr:colOff>76320</xdr:colOff>
      <xdr:row>146</xdr:row>
      <xdr:rowOff>114360</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7" name="Ink 6">
              <a:extLst>
                <a:ext uri="{FF2B5EF4-FFF2-40B4-BE49-F238E27FC236}">
                  <a16:creationId xmlns:a16="http://schemas.microsoft.com/office/drawing/2014/main" id="{07B5843D-0BB5-5EA6-CC0D-E8BD5B8952BF}"/>
                </a:ext>
              </a:extLst>
            </xdr14:cNvPr>
            <xdr14:cNvContentPartPr/>
          </xdr14:nvContentPartPr>
          <xdr14:nvPr macro=""/>
          <xdr14:xfrm>
            <a:off x="1904760" y="27041175"/>
            <a:ext cx="360" cy="360"/>
          </xdr14:xfrm>
        </xdr:contentPart>
      </mc:Choice>
      <mc:Fallback>
        <xdr:pic>
          <xdr:nvPicPr>
            <xdr:cNvPr id="7" name="Ink 6">
              <a:extLst>
                <a:ext uri="{FF2B5EF4-FFF2-40B4-BE49-F238E27FC236}">
                  <a16:creationId xmlns:a16="http://schemas.microsoft.com/office/drawing/2014/main" id="{07B5843D-0BB5-5EA6-CC0D-E8BD5B8952BF}"/>
                </a:ext>
              </a:extLst>
            </xdr:cNvPr>
            <xdr:cNvPicPr/>
          </xdr:nvPicPr>
          <xdr:blipFill>
            <a:blip xmlns:r="http://schemas.openxmlformats.org/officeDocument/2006/relationships" r:embed="rId3"/>
            <a:stretch>
              <a:fillRect/>
            </a:stretch>
          </xdr:blipFill>
          <xdr:spPr>
            <a:xfrm>
              <a:off x="1896120" y="27032175"/>
              <a:ext cx="18000" cy="18000"/>
            </a:xfrm>
            <a:prstGeom prst="rect">
              <a:avLst/>
            </a:prstGeom>
          </xdr:spPr>
        </xdr:pic>
      </mc:Fallback>
    </mc:AlternateContent>
    <xdr:clientData/>
  </xdr:twoCellAnchor>
  <xdr:twoCellAnchor>
    <xdr:from>
      <xdr:col>6</xdr:col>
      <xdr:colOff>190500</xdr:colOff>
      <xdr:row>146</xdr:row>
      <xdr:rowOff>9524</xdr:rowOff>
    </xdr:from>
    <xdr:to>
      <xdr:col>12</xdr:col>
      <xdr:colOff>323850</xdr:colOff>
      <xdr:row>157</xdr:row>
      <xdr:rowOff>142875</xdr:rowOff>
    </xdr:to>
    <xdr:graphicFrame macro="">
      <xdr:nvGraphicFramePr>
        <xdr:cNvPr id="8" name="Chart 7">
          <a:extLst>
            <a:ext uri="{FF2B5EF4-FFF2-40B4-BE49-F238E27FC236}">
              <a16:creationId xmlns:a16="http://schemas.microsoft.com/office/drawing/2014/main" id="{7ECC96B0-5646-4AB8-8D7E-42DE55D3A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4</xdr:col>
      <xdr:colOff>190500</xdr:colOff>
      <xdr:row>158</xdr:row>
      <xdr:rowOff>142875</xdr:rowOff>
    </xdr:from>
    <xdr:to>
      <xdr:col>5</xdr:col>
      <xdr:colOff>971550</xdr:colOff>
      <xdr:row>171</xdr:row>
      <xdr:rowOff>66675</xdr:rowOff>
    </xdr:to>
    <mc:AlternateContent xmlns:mc="http://schemas.openxmlformats.org/markup-compatibility/2006">
      <mc:Choice xmlns:sle15="http://schemas.microsoft.com/office/drawing/2012/slicer" Requires="sle15">
        <xdr:graphicFrame macro="">
          <xdr:nvGraphicFramePr>
            <xdr:cNvPr id="9" name="Product 1">
              <a:extLst>
                <a:ext uri="{FF2B5EF4-FFF2-40B4-BE49-F238E27FC236}">
                  <a16:creationId xmlns:a16="http://schemas.microsoft.com/office/drawing/2014/main" id="{31424568-31D8-9664-FEDE-BA3EE0F04B7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895600" y="29384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11</xdr:col>
      <xdr:colOff>85725</xdr:colOff>
      <xdr:row>161</xdr:row>
      <xdr:rowOff>90487</xdr:rowOff>
    </xdr:from>
    <xdr:to>
      <xdr:col>18</xdr:col>
      <xdr:colOff>390525</xdr:colOff>
      <xdr:row>175</xdr:row>
      <xdr:rowOff>33337</xdr:rowOff>
    </xdr:to>
    <xdr:graphicFrame macro="">
      <xdr:nvGraphicFramePr>
        <xdr:cNvPr id="10" name="Chart 9">
          <a:extLst>
            <a:ext uri="{FF2B5EF4-FFF2-40B4-BE49-F238E27FC236}">
              <a16:creationId xmlns:a16="http://schemas.microsoft.com/office/drawing/2014/main" id="{9C057EC1-B38D-E8F3-1A41-F2D3FDC33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5T17:41:52.253"/>
    </inkml:context>
    <inkml:brush xml:id="br0">
      <inkml:brushProperty name="width" value="0.05" units="cm"/>
      <inkml:brushProperty name="height" value="0.05" units="cm"/>
    </inkml:brush>
  </inkml:definitions>
  <inkml:trace contextRef="#ctx0" brushRef="#br0">1 0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5T17:41:55.270"/>
    </inkml:context>
    <inkml:brush xml:id="br0">
      <inkml:brushProperty name="width" value="0.05" units="cm"/>
      <inkml:brushProperty name="height" value="0.05" units="cm"/>
    </inkml:brush>
  </inkml:definitions>
  <inkml:trace contextRef="#ctx0" brushRef="#br0">1 0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5T17:41:57.475"/>
    </inkml:context>
    <inkml:brush xml:id="br0">
      <inkml:brushProperty name="width" value="0.05" units="cm"/>
      <inkml:brushProperty name="height" value="0.05" units="cm"/>
    </inkml:brush>
  </inkml:definitions>
  <inkml:trace contextRef="#ctx0" brushRef="#br0">1 0 24575,'0'0'-8191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6.789858912038" createdVersion="8" refreshedVersion="8" minRefreshableVersion="3" recordCount="20" xr:uid="{E7AB90F4-509C-4629-8E60-0D63C874AC90}">
  <cacheSource type="worksheet">
    <worksheetSource ref="A1:E21" sheet="Dataset"/>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6.993343402777" createdVersion="8" refreshedVersion="8" minRefreshableVersion="3" recordCount="20" xr:uid="{290AB17B-95D3-47E5-98FF-EA36B2258C1B}">
  <cacheSource type="worksheet">
    <worksheetSource name="Table7"/>
  </cacheSource>
  <cacheFields count="3">
    <cacheField name="Product" numFmtId="0">
      <sharedItems/>
    </cacheField>
    <cacheField name="Category" numFmtId="0">
      <sharedItems count="2">
        <s v="Mangoes"/>
        <s v="Fruits"/>
      </sharedItems>
    </cacheField>
    <cacheField name="Sales" numFmtId="0">
      <sharedItems containsSemiMixedTypes="0" containsString="0" containsNumber="1" containsInteger="1" minValue="53" maxValue="4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Mangoes"/>
    <n v="456"/>
    <n v="93"/>
  </r>
  <r>
    <x v="1"/>
    <x v="1"/>
    <s v="Oranges"/>
    <n v="348"/>
    <n v="56"/>
  </r>
  <r>
    <x v="2"/>
    <x v="1"/>
    <s v="Mangoes"/>
    <n v="247"/>
    <n v="76"/>
  </r>
  <r>
    <x v="3"/>
    <x v="0"/>
    <s v="Apples"/>
    <n v="230"/>
    <n v="37"/>
  </r>
  <r>
    <x v="4"/>
    <x v="0"/>
    <s v="Mangoes"/>
    <n v="281"/>
    <n v="50"/>
  </r>
  <r>
    <x v="5"/>
    <x v="0"/>
    <s v="Oranges"/>
    <n v="334"/>
    <n v="52"/>
  </r>
  <r>
    <x v="6"/>
    <x v="1"/>
    <s v="Apples"/>
    <n v="417"/>
    <n v="29"/>
  </r>
  <r>
    <x v="7"/>
    <x v="0"/>
    <s v="Apples"/>
    <n v="441"/>
    <n v="44"/>
  </r>
  <r>
    <x v="8"/>
    <x v="1"/>
    <s v="Mangoes"/>
    <n v="76"/>
    <n v="63"/>
  </r>
  <r>
    <x v="9"/>
    <x v="0"/>
    <s v="Oranges"/>
    <n v="441"/>
    <n v="79"/>
  </r>
  <r>
    <x v="10"/>
    <x v="1"/>
    <s v="Mangoes"/>
    <n v="205"/>
    <n v="23"/>
  </r>
  <r>
    <x v="11"/>
    <x v="0"/>
    <s v="Oranges"/>
    <n v="483"/>
    <n v="97"/>
  </r>
  <r>
    <x v="12"/>
    <x v="2"/>
    <s v="Mangoes"/>
    <n v="467"/>
    <n v="97"/>
  </r>
  <r>
    <x v="13"/>
    <x v="0"/>
    <s v="Mangoes"/>
    <n v="380"/>
    <n v="92"/>
  </r>
  <r>
    <x v="14"/>
    <x v="1"/>
    <s v="Oranges"/>
    <n v="497"/>
    <n v="71"/>
  </r>
  <r>
    <x v="15"/>
    <x v="1"/>
    <s v="Mangoes"/>
    <n v="409"/>
    <n v="81"/>
  </r>
  <r>
    <x v="16"/>
    <x v="0"/>
    <s v="Oranges"/>
    <n v="53"/>
    <n v="45"/>
  </r>
  <r>
    <x v="17"/>
    <x v="0"/>
    <s v="Apples"/>
    <n v="398"/>
    <n v="33"/>
  </r>
  <r>
    <x v="18"/>
    <x v="3"/>
    <s v="Oranges"/>
    <n v="347"/>
    <n v="35"/>
  </r>
  <r>
    <x v="19"/>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Mangoes"/>
    <x v="0"/>
    <n v="456"/>
  </r>
  <r>
    <s v="Oranges"/>
    <x v="1"/>
    <n v="348"/>
  </r>
  <r>
    <s v="Mangoes"/>
    <x v="0"/>
    <n v="247"/>
  </r>
  <r>
    <s v="Apples"/>
    <x v="1"/>
    <n v="230"/>
  </r>
  <r>
    <s v="Mangoes"/>
    <x v="0"/>
    <n v="281"/>
  </r>
  <r>
    <s v="Oranges"/>
    <x v="1"/>
    <n v="334"/>
  </r>
  <r>
    <s v="Apples"/>
    <x v="1"/>
    <n v="417"/>
  </r>
  <r>
    <s v="Apples"/>
    <x v="1"/>
    <n v="441"/>
  </r>
  <r>
    <s v="Mangoes"/>
    <x v="0"/>
    <n v="76"/>
  </r>
  <r>
    <s v="Oranges"/>
    <x v="1"/>
    <n v="441"/>
  </r>
  <r>
    <s v="Mangoes"/>
    <x v="0"/>
    <n v="205"/>
  </r>
  <r>
    <s v="Oranges"/>
    <x v="1"/>
    <n v="483"/>
  </r>
  <r>
    <s v="Mangoes"/>
    <x v="0"/>
    <n v="467"/>
  </r>
  <r>
    <s v="Mangoes"/>
    <x v="0"/>
    <n v="380"/>
  </r>
  <r>
    <s v="Oranges"/>
    <x v="1"/>
    <n v="497"/>
  </r>
  <r>
    <s v="Mangoes"/>
    <x v="0"/>
    <n v="409"/>
  </r>
  <r>
    <s v="Oranges"/>
    <x v="1"/>
    <n v="53"/>
  </r>
  <r>
    <s v="Apples"/>
    <x v="1"/>
    <n v="398"/>
  </r>
  <r>
    <s v="Oranges"/>
    <x v="1"/>
    <n v="347"/>
  </r>
  <r>
    <s v="Apples"/>
    <x v="1"/>
    <n v="3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81C8EA-067F-43C3-825D-2C9177F094EC}" name="PivotTable30"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02:J205" firstHeaderRow="1" firstDataRow="1" firstDataCol="1"/>
  <pivotFields count="3">
    <pivotField showAll="0"/>
    <pivotField axis="axisRow" showAll="0">
      <items count="3">
        <item x="1"/>
        <item x="0"/>
        <item t="default"/>
      </items>
    </pivotField>
    <pivotField dataField="1" showAll="0"/>
  </pivotFields>
  <rowFields count="1">
    <field x="1"/>
  </rowFields>
  <rowItems count="3">
    <i>
      <x/>
    </i>
    <i>
      <x v="1"/>
    </i>
    <i t="grand">
      <x/>
    </i>
  </rowItems>
  <colItems count="1">
    <i/>
  </colItems>
  <dataFields count="1">
    <dataField name="Sum of 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0A9D3B-8140-4738-9449-EB666C0255DB}" name="PivotTable28"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6:E193"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6"/>
  </rowFields>
  <rowItems count="7">
    <i>
      <x v="1"/>
    </i>
    <i>
      <x v="2"/>
    </i>
    <i>
      <x v="3"/>
    </i>
    <i>
      <x v="4"/>
    </i>
    <i>
      <x v="5"/>
    </i>
    <i>
      <x v="6"/>
    </i>
    <i t="grand">
      <x/>
    </i>
  </rowItems>
  <colItems count="1">
    <i/>
  </colItem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1610F3-5278-40F3-B0A9-F8ABDFA1B98C}" name="PivotTable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48:E153"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ED82FE-AB2C-4CE8-BE93-CD84FD97C18C}"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98:E105"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F5CA22-3CF5-476B-A23E-A817F3110D1C}" name="PivotTable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E14"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3D8AAE9-5736-437C-8951-656E95D778E8}" sourceName="Product">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9B2802F9-5ACC-46B4-B13E-3166EF7141DB}" sourceName="Product">
  <extLst>
    <x:ext xmlns:x15="http://schemas.microsoft.com/office/spreadsheetml/2010/11/main" uri="{2F2917AC-EB37-4324-AD4E-5DD8C200BD13}">
      <x15:tableSlicerCache tableId="5"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FE13BCB-23F6-44DD-A8A2-CA68910F77DA}" cache="Slicer_Product" caption="Product" rowHeight="241300"/>
  <slicer name="Product 1" xr10:uid="{030D4731-F039-43AF-9F0A-EB2151860A1A}" cache="Slicer_Product1"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4CFDDA-0428-4C86-B3E4-DA6506BC5319}" name="Table1" displayName="Table1" ref="D49:E69" totalsRowShown="0" headerRowDxfId="30" headerRowBorderDxfId="34" tableBorderDxfId="35" totalsRowBorderDxfId="33">
  <autoFilter ref="D49:E69" xr:uid="{764CFDDA-0428-4C86-B3E4-DA6506BC5319}"/>
  <sortState xmlns:xlrd2="http://schemas.microsoft.com/office/spreadsheetml/2017/richdata2" ref="D50:E69">
    <sortCondition ref="E49:E69"/>
  </sortState>
  <tableColumns count="2">
    <tableColumn id="1" xr3:uid="{97C9ECFB-E3EF-4FB2-8534-755C37E136EB}" name="Product" dataDxfId="32"/>
    <tableColumn id="2" xr3:uid="{5432A003-9570-4856-85C0-854577A24ABF}" name="Sales" dataDxfId="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DDA0BD-F0E9-4AAA-9BFD-917396FC4209}" name="Table3" displayName="Table3" ref="D73:D93" totalsRowShown="0" headerRowDxfId="24" dataDxfId="25" headerRowBorderDxfId="28" tableBorderDxfId="29" totalsRowBorderDxfId="27">
  <autoFilter ref="D73:D93" xr:uid="{C5DDA0BD-F0E9-4AAA-9BFD-917396FC4209}">
    <filterColumn colId="0">
      <filters>
        <filter val="Mangoes"/>
      </filters>
    </filterColumn>
  </autoFilter>
  <tableColumns count="1">
    <tableColumn id="1" xr3:uid="{2636BBE1-A863-4084-93D2-C05F2110990D}" name="Product" dataDxfId="2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2FED9C-062D-4568-A753-EB9B6A1C50EE}" name="Table4" displayName="Table4" ref="D116:E136" totalsRowShown="0" headerRowDxfId="18" headerRowBorderDxfId="22" tableBorderDxfId="23" totalsRowBorderDxfId="21">
  <autoFilter ref="D116:E136" xr:uid="{182FED9C-062D-4568-A753-EB9B6A1C50EE}"/>
  <tableColumns count="2">
    <tableColumn id="1" xr3:uid="{08B1B326-2918-49AB-AF9A-E30ACE0070DA}" name="Product" dataDxfId="20"/>
    <tableColumn id="2" xr3:uid="{5D9AE79D-A336-4F6C-A71E-AA0D10542EB6}" name="Sales" dataDxfId="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D9972F7-2D2E-4600-A60F-141D9A2CF06A}" name="Table5" displayName="Table5" ref="D156:D176" totalsRowShown="0" headerRowDxfId="12" dataDxfId="13" headerRowBorderDxfId="16" tableBorderDxfId="17" totalsRowBorderDxfId="15">
  <autoFilter ref="D156:D176" xr:uid="{5D9972F7-2D2E-4600-A60F-141D9A2CF06A}"/>
  <tableColumns count="1">
    <tableColumn id="1" xr3:uid="{5E6D6E2C-C780-413A-9508-7B1DF30097D2}" name="Product" dataDxfId="1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D47AF7-9C0F-4064-8C33-39A4534D4714}" name="Table6" displayName="Table6" ref="I161:J181" totalsRowShown="0" headerRowDxfId="7" headerRowBorderDxfId="10" tableBorderDxfId="11">
  <autoFilter ref="I161:J181" xr:uid="{D6D47AF7-9C0F-4064-8C33-39A4534D4714}"/>
  <tableColumns count="2">
    <tableColumn id="1" xr3:uid="{CB3CF8D0-0A3B-4F14-AD04-D082E2E73B13}" name="Date" dataDxfId="9"/>
    <tableColumn id="2" xr3:uid="{BC0D545C-063F-4B17-B233-BB88A572A4BA}" name="Sales" dataDxfId="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090CFB7-096A-4488-BF42-8EA0EEB9FEDA}" name="Table7" displayName="Table7" ref="D197:F217" totalsRowShown="0" headerRowBorderDxfId="4" tableBorderDxfId="5" totalsRowBorderDxfId="3">
  <autoFilter ref="D197:F217" xr:uid="{2090CFB7-096A-4488-BF42-8EA0EEB9FEDA}"/>
  <tableColumns count="3">
    <tableColumn id="1" xr3:uid="{8F138677-4487-45D2-8105-A7456E1C1A18}" name="Product" dataDxfId="2"/>
    <tableColumn id="2" xr3:uid="{C6A46F88-C859-4A6B-99F9-F255F4D1554B}" name="Category" dataDxfId="1">
      <calculatedColumnFormula>IF(OR(D198="Apples", D198="Oranges"), "Fruits", D198)</calculatedColumnFormula>
    </tableColumn>
    <tableColumn id="3" xr3:uid="{5E56E501-9DB8-464C-A145-36164B3049FF}"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1.xml"/><Relationship Id="rId13" Type="http://schemas.openxmlformats.org/officeDocument/2006/relationships/table" Target="../tables/table6.xml"/><Relationship Id="rId3" Type="http://schemas.openxmlformats.org/officeDocument/2006/relationships/pivotTable" Target="../pivotTables/pivotTable3.xml"/><Relationship Id="rId7" Type="http://schemas.openxmlformats.org/officeDocument/2006/relationships/drawing" Target="../drawings/drawing1.xml"/><Relationship Id="rId12" Type="http://schemas.openxmlformats.org/officeDocument/2006/relationships/table" Target="../tables/table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11" Type="http://schemas.openxmlformats.org/officeDocument/2006/relationships/table" Target="../tables/table4.xml"/><Relationship Id="rId5" Type="http://schemas.openxmlformats.org/officeDocument/2006/relationships/pivotTable" Target="../pivotTables/pivotTable5.xml"/><Relationship Id="rId10"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table" Target="../tables/table2.xml"/><Relationship Id="rId1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E0C8B-1433-44DE-A073-95B8B38810FB}">
  <dimension ref="A1:H24"/>
  <sheetViews>
    <sheetView tabSelected="1" workbookViewId="0">
      <selection activeCell="H7" sqref="H7"/>
    </sheetView>
  </sheetViews>
  <sheetFormatPr defaultRowHeight="15" x14ac:dyDescent="0.25"/>
  <cols>
    <col min="1" max="1" width="15.5703125" bestFit="1" customWidth="1"/>
    <col min="8" max="9" width="13.140625" bestFit="1" customWidth="1"/>
    <col min="10" max="10" width="15.7109375" bestFit="1" customWidth="1"/>
    <col min="11" max="11" width="6.140625" bestFit="1" customWidth="1"/>
    <col min="12" max="12" width="5.7109375" bestFit="1" customWidth="1"/>
    <col min="13" max="13" width="11.28515625" bestFit="1" customWidth="1"/>
  </cols>
  <sheetData>
    <row r="1" spans="1:8" ht="15.75" thickBot="1" x14ac:dyDescent="0.3">
      <c r="A1" s="1" t="s">
        <v>0</v>
      </c>
      <c r="B1" s="2" t="s">
        <v>1</v>
      </c>
      <c r="C1" s="2" t="s">
        <v>2</v>
      </c>
      <c r="D1" s="2" t="s">
        <v>3</v>
      </c>
      <c r="E1" s="2" t="s">
        <v>4</v>
      </c>
    </row>
    <row r="2" spans="1:8" ht="15.75" thickBot="1" x14ac:dyDescent="0.3">
      <c r="A2" s="6">
        <v>45292</v>
      </c>
      <c r="B2" s="4" t="s">
        <v>5</v>
      </c>
      <c r="C2" s="4" t="s">
        <v>6</v>
      </c>
      <c r="D2" s="5">
        <v>456</v>
      </c>
      <c r="E2" s="5">
        <v>93</v>
      </c>
    </row>
    <row r="3" spans="1:8" ht="15.75" thickBot="1" x14ac:dyDescent="0.3">
      <c r="A3" s="3">
        <v>45301.526319444441</v>
      </c>
      <c r="B3" s="4" t="s">
        <v>7</v>
      </c>
      <c r="C3" s="4" t="s">
        <v>8</v>
      </c>
      <c r="D3" s="5">
        <v>348</v>
      </c>
      <c r="E3" s="5">
        <v>56</v>
      </c>
    </row>
    <row r="4" spans="1:8" ht="15.75" thickBot="1" x14ac:dyDescent="0.3">
      <c r="A4" s="3">
        <v>45311.052627314813</v>
      </c>
      <c r="B4" s="4" t="s">
        <v>7</v>
      </c>
      <c r="C4" s="4" t="s">
        <v>6</v>
      </c>
      <c r="D4" s="5">
        <v>247</v>
      </c>
      <c r="E4" s="5">
        <v>76</v>
      </c>
    </row>
    <row r="5" spans="1:8" ht="15.75" thickBot="1" x14ac:dyDescent="0.3">
      <c r="A5" s="3">
        <v>45320.578946759262</v>
      </c>
      <c r="B5" s="4" t="s">
        <v>5</v>
      </c>
      <c r="C5" s="4" t="s">
        <v>9</v>
      </c>
      <c r="D5" s="5">
        <v>230</v>
      </c>
      <c r="E5" s="5">
        <v>37</v>
      </c>
    </row>
    <row r="6" spans="1:8" ht="15.75" thickBot="1" x14ac:dyDescent="0.3">
      <c r="A6" s="3">
        <v>45330.105266203704</v>
      </c>
      <c r="B6" s="4" t="s">
        <v>5</v>
      </c>
      <c r="C6" s="4" t="s">
        <v>6</v>
      </c>
      <c r="D6" s="5">
        <v>281</v>
      </c>
      <c r="E6" s="5">
        <v>50</v>
      </c>
    </row>
    <row r="7" spans="1:8" ht="15.75" thickBot="1" x14ac:dyDescent="0.3">
      <c r="A7" s="3">
        <v>45339.631574074076</v>
      </c>
      <c r="B7" s="4" t="s">
        <v>5</v>
      </c>
      <c r="C7" s="4" t="s">
        <v>8</v>
      </c>
      <c r="D7" s="5">
        <v>334</v>
      </c>
      <c r="E7" s="5">
        <v>52</v>
      </c>
    </row>
    <row r="8" spans="1:8" ht="15.75" thickBot="1" x14ac:dyDescent="0.3">
      <c r="A8" s="3">
        <v>45349.157893518517</v>
      </c>
      <c r="B8" s="4" t="s">
        <v>7</v>
      </c>
      <c r="C8" s="4" t="s">
        <v>9</v>
      </c>
      <c r="D8" s="5">
        <v>417</v>
      </c>
      <c r="E8" s="5">
        <v>29</v>
      </c>
    </row>
    <row r="9" spans="1:8" ht="15.75" thickBot="1" x14ac:dyDescent="0.3">
      <c r="A9" s="3">
        <v>45358.684212962966</v>
      </c>
      <c r="B9" s="4" t="s">
        <v>5</v>
      </c>
      <c r="C9" s="4" t="s">
        <v>9</v>
      </c>
      <c r="D9" s="5">
        <v>441</v>
      </c>
      <c r="E9" s="5">
        <v>44</v>
      </c>
    </row>
    <row r="10" spans="1:8" ht="15.75" thickBot="1" x14ac:dyDescent="0.3">
      <c r="A10" s="3">
        <v>45368.210520833331</v>
      </c>
      <c r="B10" s="4" t="s">
        <v>7</v>
      </c>
      <c r="C10" s="4" t="s">
        <v>6</v>
      </c>
      <c r="D10" s="5">
        <v>76</v>
      </c>
      <c r="E10" s="5">
        <v>63</v>
      </c>
    </row>
    <row r="11" spans="1:8" ht="19.5" thickBot="1" x14ac:dyDescent="0.35">
      <c r="A11" s="3">
        <v>45377.736840277779</v>
      </c>
      <c r="B11" s="4" t="s">
        <v>5</v>
      </c>
      <c r="C11" s="4" t="s">
        <v>8</v>
      </c>
      <c r="D11" s="5">
        <v>441</v>
      </c>
      <c r="E11" s="5">
        <v>79</v>
      </c>
      <c r="H11" s="32" t="s">
        <v>49</v>
      </c>
    </row>
    <row r="12" spans="1:8" ht="15.75" thickBot="1" x14ac:dyDescent="0.3">
      <c r="A12" s="3">
        <v>45387.263159722221</v>
      </c>
      <c r="B12" s="4" t="s">
        <v>7</v>
      </c>
      <c r="C12" s="4" t="s">
        <v>6</v>
      </c>
      <c r="D12" s="5">
        <v>205</v>
      </c>
      <c r="E12" s="5">
        <v>23</v>
      </c>
    </row>
    <row r="13" spans="1:8" ht="15.75" thickBot="1" x14ac:dyDescent="0.3">
      <c r="A13" s="3">
        <v>45396.789479166669</v>
      </c>
      <c r="B13" s="4" t="s">
        <v>5</v>
      </c>
      <c r="C13" s="4" t="s">
        <v>8</v>
      </c>
      <c r="D13" s="5">
        <v>483</v>
      </c>
      <c r="E13" s="5">
        <v>97</v>
      </c>
    </row>
    <row r="14" spans="1:8" ht="15.75" thickBot="1" x14ac:dyDescent="0.3">
      <c r="A14" s="3">
        <v>45406.315787037034</v>
      </c>
      <c r="B14" s="4" t="s">
        <v>10</v>
      </c>
      <c r="C14" s="4" t="s">
        <v>6</v>
      </c>
      <c r="D14" s="5">
        <v>467</v>
      </c>
      <c r="E14" s="5">
        <v>97</v>
      </c>
    </row>
    <row r="15" spans="1:8" ht="15.75" thickBot="1" x14ac:dyDescent="0.3">
      <c r="A15" s="3">
        <v>45415.842106481483</v>
      </c>
      <c r="B15" s="4" t="s">
        <v>5</v>
      </c>
      <c r="C15" s="4" t="s">
        <v>6</v>
      </c>
      <c r="D15" s="5">
        <v>380</v>
      </c>
      <c r="E15" s="5">
        <v>92</v>
      </c>
    </row>
    <row r="16" spans="1:8" ht="15.75" thickBot="1" x14ac:dyDescent="0.3">
      <c r="A16" s="3">
        <v>45425.368425925924</v>
      </c>
      <c r="B16" s="4" t="s">
        <v>7</v>
      </c>
      <c r="C16" s="4" t="s">
        <v>8</v>
      </c>
      <c r="D16" s="5">
        <v>497</v>
      </c>
      <c r="E16" s="5">
        <v>71</v>
      </c>
    </row>
    <row r="17" spans="1:5" ht="15.75" thickBot="1" x14ac:dyDescent="0.3">
      <c r="A17" s="3">
        <v>45434.894733796296</v>
      </c>
      <c r="B17" s="4" t="s">
        <v>7</v>
      </c>
      <c r="C17" s="4" t="s">
        <v>6</v>
      </c>
      <c r="D17" s="5">
        <v>409</v>
      </c>
      <c r="E17" s="5">
        <v>81</v>
      </c>
    </row>
    <row r="18" spans="1:5" ht="15.75" thickBot="1" x14ac:dyDescent="0.3">
      <c r="A18" s="3">
        <v>45444.421053240738</v>
      </c>
      <c r="B18" s="4" t="s">
        <v>5</v>
      </c>
      <c r="C18" s="4" t="s">
        <v>8</v>
      </c>
      <c r="D18" s="5">
        <v>53</v>
      </c>
      <c r="E18" s="5">
        <v>45</v>
      </c>
    </row>
    <row r="19" spans="1:5" ht="15.75" thickBot="1" x14ac:dyDescent="0.3">
      <c r="A19" s="3">
        <v>45453.947372685187</v>
      </c>
      <c r="B19" s="4" t="s">
        <v>5</v>
      </c>
      <c r="C19" s="4" t="s">
        <v>9</v>
      </c>
      <c r="D19" s="5">
        <v>398</v>
      </c>
      <c r="E19" s="5">
        <v>33</v>
      </c>
    </row>
    <row r="20" spans="1:5" ht="15.75" thickBot="1" x14ac:dyDescent="0.3">
      <c r="A20" s="3">
        <v>45463.473680555559</v>
      </c>
      <c r="B20" s="4" t="s">
        <v>11</v>
      </c>
      <c r="C20" s="4" t="s">
        <v>8</v>
      </c>
      <c r="D20" s="5">
        <v>347</v>
      </c>
      <c r="E20" s="5">
        <v>35</v>
      </c>
    </row>
    <row r="21" spans="1:5" ht="15.75" thickBot="1" x14ac:dyDescent="0.3">
      <c r="A21" s="3">
        <v>45473</v>
      </c>
      <c r="B21" s="4" t="s">
        <v>7</v>
      </c>
      <c r="C21" s="4" t="s">
        <v>9</v>
      </c>
      <c r="D21" s="5">
        <v>319</v>
      </c>
      <c r="E21" s="5">
        <v>45</v>
      </c>
    </row>
    <row r="24" spans="1:5" x14ac:dyDescent="0.25">
      <c r="A24" s="7"/>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9A554-4485-4CEB-94B5-D19BF9FC500B}">
  <dimension ref="C3:M217"/>
  <sheetViews>
    <sheetView topLeftCell="A208" workbookViewId="0">
      <selection activeCell="C196" sqref="C196:J196"/>
    </sheetView>
  </sheetViews>
  <sheetFormatPr defaultRowHeight="15" x14ac:dyDescent="0.25"/>
  <cols>
    <col min="4" max="4" width="13.140625" bestFit="1" customWidth="1"/>
    <col min="5" max="5" width="15.7109375" bestFit="1" customWidth="1"/>
    <col min="6" max="6" width="15.42578125" bestFit="1" customWidth="1"/>
    <col min="7" max="7" width="10" customWidth="1"/>
    <col min="9" max="9" width="15.5703125" bestFit="1" customWidth="1"/>
    <col min="10" max="10" width="12.140625" bestFit="1" customWidth="1"/>
    <col min="18" max="18" width="13.140625" bestFit="1" customWidth="1"/>
    <col min="19" max="19" width="12.140625" bestFit="1" customWidth="1"/>
  </cols>
  <sheetData>
    <row r="3" spans="3:13" x14ac:dyDescent="0.25">
      <c r="C3" s="31">
        <v>1</v>
      </c>
      <c r="D3" s="31" t="s">
        <v>12</v>
      </c>
      <c r="E3" s="31"/>
      <c r="F3" s="31"/>
    </row>
    <row r="4" spans="3:13" ht="45.75" customHeight="1" x14ac:dyDescent="0.25">
      <c r="C4" t="s">
        <v>13</v>
      </c>
      <c r="D4" s="8" t="s">
        <v>14</v>
      </c>
      <c r="E4" s="8"/>
      <c r="F4" s="8"/>
      <c r="G4" s="8"/>
      <c r="H4" s="8"/>
      <c r="I4" s="8"/>
      <c r="J4" s="8"/>
      <c r="K4" s="8"/>
      <c r="L4" s="8"/>
      <c r="M4" s="8"/>
    </row>
    <row r="7" spans="3:13" x14ac:dyDescent="0.25">
      <c r="C7" s="31">
        <v>2</v>
      </c>
      <c r="D7" s="31" t="s">
        <v>15</v>
      </c>
      <c r="E7" s="31"/>
      <c r="F7" s="31"/>
    </row>
    <row r="8" spans="3:13" x14ac:dyDescent="0.25">
      <c r="C8" t="s">
        <v>13</v>
      </c>
    </row>
    <row r="9" spans="3:13" x14ac:dyDescent="0.25">
      <c r="D9" s="9" t="s">
        <v>16</v>
      </c>
      <c r="E9" t="s">
        <v>18</v>
      </c>
    </row>
    <row r="10" spans="3:13" x14ac:dyDescent="0.25">
      <c r="D10" s="10" t="s">
        <v>10</v>
      </c>
      <c r="E10" s="11">
        <v>467</v>
      </c>
    </row>
    <row r="11" spans="3:13" x14ac:dyDescent="0.25">
      <c r="D11" s="10" t="s">
        <v>11</v>
      </c>
      <c r="E11" s="11">
        <v>347</v>
      </c>
    </row>
    <row r="12" spans="3:13" x14ac:dyDescent="0.25">
      <c r="D12" s="10" t="s">
        <v>7</v>
      </c>
      <c r="E12" s="11">
        <v>2518</v>
      </c>
    </row>
    <row r="13" spans="3:13" x14ac:dyDescent="0.25">
      <c r="D13" s="10" t="s">
        <v>5</v>
      </c>
      <c r="E13" s="11">
        <v>3497</v>
      </c>
    </row>
    <row r="14" spans="3:13" x14ac:dyDescent="0.25">
      <c r="D14" s="10" t="s">
        <v>17</v>
      </c>
      <c r="E14" s="11">
        <v>6829</v>
      </c>
    </row>
    <row r="17" spans="3:7" x14ac:dyDescent="0.25">
      <c r="C17" s="31">
        <v>3</v>
      </c>
      <c r="D17" s="31" t="s">
        <v>19</v>
      </c>
      <c r="E17" s="31"/>
      <c r="F17" s="31"/>
      <c r="G17" s="31"/>
    </row>
    <row r="18" spans="3:7" x14ac:dyDescent="0.25">
      <c r="C18" t="s">
        <v>13</v>
      </c>
      <c r="D18" s="12" t="s">
        <v>3</v>
      </c>
    </row>
    <row r="19" spans="3:7" x14ac:dyDescent="0.25">
      <c r="D19" s="13">
        <v>456</v>
      </c>
    </row>
    <row r="20" spans="3:7" x14ac:dyDescent="0.25">
      <c r="D20" s="13">
        <v>348</v>
      </c>
    </row>
    <row r="21" spans="3:7" x14ac:dyDescent="0.25">
      <c r="D21" s="13">
        <v>247</v>
      </c>
    </row>
    <row r="22" spans="3:7" x14ac:dyDescent="0.25">
      <c r="D22" s="13">
        <v>230</v>
      </c>
    </row>
    <row r="23" spans="3:7" x14ac:dyDescent="0.25">
      <c r="D23" s="13">
        <v>281</v>
      </c>
    </row>
    <row r="24" spans="3:7" x14ac:dyDescent="0.25">
      <c r="D24" s="13">
        <v>334</v>
      </c>
    </row>
    <row r="25" spans="3:7" x14ac:dyDescent="0.25">
      <c r="D25" s="13">
        <v>417</v>
      </c>
    </row>
    <row r="26" spans="3:7" x14ac:dyDescent="0.25">
      <c r="D26" s="13">
        <v>441</v>
      </c>
    </row>
    <row r="27" spans="3:7" x14ac:dyDescent="0.25">
      <c r="D27" s="13">
        <v>76</v>
      </c>
    </row>
    <row r="28" spans="3:7" x14ac:dyDescent="0.25">
      <c r="D28" s="13">
        <v>441</v>
      </c>
    </row>
    <row r="29" spans="3:7" x14ac:dyDescent="0.25">
      <c r="D29" s="13">
        <v>205</v>
      </c>
    </row>
    <row r="30" spans="3:7" x14ac:dyDescent="0.25">
      <c r="D30" s="13">
        <v>483</v>
      </c>
    </row>
    <row r="31" spans="3:7" x14ac:dyDescent="0.25">
      <c r="D31" s="13">
        <v>467</v>
      </c>
    </row>
    <row r="32" spans="3:7" x14ac:dyDescent="0.25">
      <c r="D32" s="13">
        <v>380</v>
      </c>
    </row>
    <row r="33" spans="3:13" x14ac:dyDescent="0.25">
      <c r="D33" s="13">
        <v>497</v>
      </c>
    </row>
    <row r="34" spans="3:13" x14ac:dyDescent="0.25">
      <c r="D34" s="13">
        <v>409</v>
      </c>
    </row>
    <row r="35" spans="3:13" x14ac:dyDescent="0.25">
      <c r="D35" s="13">
        <v>53</v>
      </c>
    </row>
    <row r="36" spans="3:13" x14ac:dyDescent="0.25">
      <c r="D36" s="13">
        <v>398</v>
      </c>
    </row>
    <row r="37" spans="3:13" x14ac:dyDescent="0.25">
      <c r="D37" s="13">
        <v>347</v>
      </c>
    </row>
    <row r="38" spans="3:13" x14ac:dyDescent="0.25">
      <c r="D38" s="13">
        <v>319</v>
      </c>
    </row>
    <row r="41" spans="3:13" x14ac:dyDescent="0.25">
      <c r="C41" s="31">
        <v>4</v>
      </c>
      <c r="D41" s="31" t="s">
        <v>20</v>
      </c>
      <c r="E41" s="31"/>
      <c r="F41" s="31"/>
      <c r="G41" s="31"/>
      <c r="H41" s="31"/>
      <c r="I41" s="31"/>
    </row>
    <row r="42" spans="3:13" x14ac:dyDescent="0.25">
      <c r="C42" t="s">
        <v>13</v>
      </c>
      <c r="D42" t="s">
        <v>21</v>
      </c>
    </row>
    <row r="43" spans="3:13" x14ac:dyDescent="0.25">
      <c r="D43" t="s">
        <v>22</v>
      </c>
    </row>
    <row r="44" spans="3:13" x14ac:dyDescent="0.25">
      <c r="D44" t="s">
        <v>23</v>
      </c>
    </row>
    <row r="45" spans="3:13" ht="28.5" customHeight="1" x14ac:dyDescent="0.25">
      <c r="D45" s="8" t="s">
        <v>24</v>
      </c>
      <c r="E45" s="8"/>
      <c r="F45" s="8"/>
      <c r="G45" s="8"/>
      <c r="H45" s="8"/>
      <c r="I45" s="8"/>
      <c r="J45" s="8"/>
      <c r="K45" s="8"/>
      <c r="L45" s="8"/>
      <c r="M45" s="8"/>
    </row>
    <row r="47" spans="3:13" x14ac:dyDescent="0.25">
      <c r="D47" t="s">
        <v>25</v>
      </c>
    </row>
    <row r="48" spans="3:13" x14ac:dyDescent="0.25">
      <c r="D48" t="s">
        <v>26</v>
      </c>
    </row>
    <row r="49" spans="4:5" ht="15.75" thickBot="1" x14ac:dyDescent="0.3">
      <c r="D49" s="15" t="s">
        <v>2</v>
      </c>
      <c r="E49" s="16" t="s">
        <v>3</v>
      </c>
    </row>
    <row r="50" spans="4:5" ht="15.75" thickBot="1" x14ac:dyDescent="0.3">
      <c r="D50" s="14" t="s">
        <v>8</v>
      </c>
      <c r="E50" s="5">
        <v>53</v>
      </c>
    </row>
    <row r="51" spans="4:5" ht="15.75" thickBot="1" x14ac:dyDescent="0.3">
      <c r="D51" s="14" t="s">
        <v>6</v>
      </c>
      <c r="E51" s="5">
        <v>76</v>
      </c>
    </row>
    <row r="52" spans="4:5" ht="15.75" thickBot="1" x14ac:dyDescent="0.3">
      <c r="D52" s="14" t="s">
        <v>6</v>
      </c>
      <c r="E52" s="5">
        <v>205</v>
      </c>
    </row>
    <row r="53" spans="4:5" ht="15.75" thickBot="1" x14ac:dyDescent="0.3">
      <c r="D53" s="14" t="s">
        <v>9</v>
      </c>
      <c r="E53" s="5">
        <v>230</v>
      </c>
    </row>
    <row r="54" spans="4:5" ht="15.75" thickBot="1" x14ac:dyDescent="0.3">
      <c r="D54" s="14" t="s">
        <v>6</v>
      </c>
      <c r="E54" s="5">
        <v>247</v>
      </c>
    </row>
    <row r="55" spans="4:5" ht="15.75" thickBot="1" x14ac:dyDescent="0.3">
      <c r="D55" s="14" t="s">
        <v>6</v>
      </c>
      <c r="E55" s="5">
        <v>281</v>
      </c>
    </row>
    <row r="56" spans="4:5" ht="15.75" thickBot="1" x14ac:dyDescent="0.3">
      <c r="D56" s="14" t="s">
        <v>9</v>
      </c>
      <c r="E56" s="5">
        <v>319</v>
      </c>
    </row>
    <row r="57" spans="4:5" ht="15.75" thickBot="1" x14ac:dyDescent="0.3">
      <c r="D57" s="14" t="s">
        <v>8</v>
      </c>
      <c r="E57" s="5">
        <v>334</v>
      </c>
    </row>
    <row r="58" spans="4:5" ht="15.75" thickBot="1" x14ac:dyDescent="0.3">
      <c r="D58" s="14" t="s">
        <v>8</v>
      </c>
      <c r="E58" s="5">
        <v>347</v>
      </c>
    </row>
    <row r="59" spans="4:5" ht="15.75" thickBot="1" x14ac:dyDescent="0.3">
      <c r="D59" s="14" t="s">
        <v>8</v>
      </c>
      <c r="E59" s="5">
        <v>348</v>
      </c>
    </row>
    <row r="60" spans="4:5" ht="15.75" thickBot="1" x14ac:dyDescent="0.3">
      <c r="D60" s="14" t="s">
        <v>6</v>
      </c>
      <c r="E60" s="5">
        <v>380</v>
      </c>
    </row>
    <row r="61" spans="4:5" ht="15.75" thickBot="1" x14ac:dyDescent="0.3">
      <c r="D61" s="14" t="s">
        <v>9</v>
      </c>
      <c r="E61" s="5">
        <v>398</v>
      </c>
    </row>
    <row r="62" spans="4:5" ht="15.75" thickBot="1" x14ac:dyDescent="0.3">
      <c r="D62" s="14" t="s">
        <v>6</v>
      </c>
      <c r="E62" s="5">
        <v>409</v>
      </c>
    </row>
    <row r="63" spans="4:5" ht="15.75" thickBot="1" x14ac:dyDescent="0.3">
      <c r="D63" s="14" t="s">
        <v>9</v>
      </c>
      <c r="E63" s="5">
        <v>417</v>
      </c>
    </row>
    <row r="64" spans="4:5" ht="15.75" thickBot="1" x14ac:dyDescent="0.3">
      <c r="D64" s="14" t="s">
        <v>9</v>
      </c>
      <c r="E64" s="5">
        <v>441</v>
      </c>
    </row>
    <row r="65" spans="4:5" ht="15.75" thickBot="1" x14ac:dyDescent="0.3">
      <c r="D65" s="14" t="s">
        <v>8</v>
      </c>
      <c r="E65" s="5">
        <v>441</v>
      </c>
    </row>
    <row r="66" spans="4:5" ht="15.75" thickBot="1" x14ac:dyDescent="0.3">
      <c r="D66" s="14" t="s">
        <v>6</v>
      </c>
      <c r="E66" s="5">
        <v>456</v>
      </c>
    </row>
    <row r="67" spans="4:5" ht="15.75" thickBot="1" x14ac:dyDescent="0.3">
      <c r="D67" s="14" t="s">
        <v>6</v>
      </c>
      <c r="E67" s="5">
        <v>467</v>
      </c>
    </row>
    <row r="68" spans="4:5" ht="15.75" thickBot="1" x14ac:dyDescent="0.3">
      <c r="D68" s="14" t="s">
        <v>8</v>
      </c>
      <c r="E68" s="5">
        <v>483</v>
      </c>
    </row>
    <row r="69" spans="4:5" x14ac:dyDescent="0.25">
      <c r="D69" s="17" t="s">
        <v>8</v>
      </c>
      <c r="E69" s="18">
        <v>497</v>
      </c>
    </row>
    <row r="71" spans="4:5" x14ac:dyDescent="0.25">
      <c r="D71" t="s">
        <v>27</v>
      </c>
    </row>
    <row r="72" spans="4:5" x14ac:dyDescent="0.25">
      <c r="D72" t="s">
        <v>28</v>
      </c>
    </row>
    <row r="73" spans="4:5" ht="15.75" thickBot="1" x14ac:dyDescent="0.3">
      <c r="D73" s="15" t="s">
        <v>2</v>
      </c>
    </row>
    <row r="74" spans="4:5" ht="15.75" thickBot="1" x14ac:dyDescent="0.3">
      <c r="D74" s="14" t="s">
        <v>6</v>
      </c>
    </row>
    <row r="75" spans="4:5" ht="15.75" hidden="1" thickBot="1" x14ac:dyDescent="0.3">
      <c r="D75" s="14" t="s">
        <v>8</v>
      </c>
    </row>
    <row r="76" spans="4:5" ht="15.75" thickBot="1" x14ac:dyDescent="0.3">
      <c r="D76" s="14" t="s">
        <v>6</v>
      </c>
    </row>
    <row r="77" spans="4:5" ht="15.75" hidden="1" thickBot="1" x14ac:dyDescent="0.3">
      <c r="D77" s="14" t="s">
        <v>9</v>
      </c>
    </row>
    <row r="78" spans="4:5" ht="15.75" thickBot="1" x14ac:dyDescent="0.3">
      <c r="D78" s="14" t="s">
        <v>6</v>
      </c>
    </row>
    <row r="79" spans="4:5" ht="15.75" hidden="1" thickBot="1" x14ac:dyDescent="0.3">
      <c r="D79" s="14" t="s">
        <v>8</v>
      </c>
    </row>
    <row r="80" spans="4:5" ht="15.75" hidden="1" thickBot="1" x14ac:dyDescent="0.3">
      <c r="D80" s="14" t="s">
        <v>9</v>
      </c>
    </row>
    <row r="81" spans="3:6" ht="15.75" hidden="1" thickBot="1" x14ac:dyDescent="0.3">
      <c r="D81" s="14" t="s">
        <v>9</v>
      </c>
    </row>
    <row r="82" spans="3:6" ht="15.75" thickBot="1" x14ac:dyDescent="0.3">
      <c r="D82" s="14" t="s">
        <v>6</v>
      </c>
    </row>
    <row r="83" spans="3:6" ht="15.75" hidden="1" thickBot="1" x14ac:dyDescent="0.3">
      <c r="D83" s="14" t="s">
        <v>8</v>
      </c>
    </row>
    <row r="84" spans="3:6" ht="15.75" thickBot="1" x14ac:dyDescent="0.3">
      <c r="D84" s="14" t="s">
        <v>6</v>
      </c>
    </row>
    <row r="85" spans="3:6" ht="15.75" hidden="1" thickBot="1" x14ac:dyDescent="0.3">
      <c r="D85" s="14" t="s">
        <v>8</v>
      </c>
    </row>
    <row r="86" spans="3:6" ht="15.75" thickBot="1" x14ac:dyDescent="0.3">
      <c r="D86" s="14" t="s">
        <v>6</v>
      </c>
    </row>
    <row r="87" spans="3:6" ht="15.75" thickBot="1" x14ac:dyDescent="0.3">
      <c r="D87" s="14" t="s">
        <v>6</v>
      </c>
    </row>
    <row r="88" spans="3:6" ht="15.75" hidden="1" thickBot="1" x14ac:dyDescent="0.3">
      <c r="D88" s="14" t="s">
        <v>8</v>
      </c>
    </row>
    <row r="89" spans="3:6" ht="15.75" thickBot="1" x14ac:dyDescent="0.3">
      <c r="D89" s="14" t="s">
        <v>6</v>
      </c>
    </row>
    <row r="90" spans="3:6" ht="15.75" hidden="1" thickBot="1" x14ac:dyDescent="0.3">
      <c r="D90" s="14" t="s">
        <v>8</v>
      </c>
    </row>
    <row r="91" spans="3:6" ht="15.75" hidden="1" thickBot="1" x14ac:dyDescent="0.3">
      <c r="D91" s="14" t="s">
        <v>9</v>
      </c>
    </row>
    <row r="92" spans="3:6" ht="15.75" hidden="1" thickBot="1" x14ac:dyDescent="0.3">
      <c r="D92" s="14" t="s">
        <v>8</v>
      </c>
    </row>
    <row r="93" spans="3:6" hidden="1" x14ac:dyDescent="0.25">
      <c r="D93" s="17" t="s">
        <v>9</v>
      </c>
    </row>
    <row r="96" spans="3:6" x14ac:dyDescent="0.25">
      <c r="C96" s="31">
        <v>5</v>
      </c>
      <c r="D96" s="31" t="s">
        <v>29</v>
      </c>
      <c r="E96" s="31"/>
      <c r="F96" s="31"/>
    </row>
    <row r="97" spans="3:5" x14ac:dyDescent="0.25">
      <c r="C97" t="s">
        <v>13</v>
      </c>
    </row>
    <row r="98" spans="3:5" x14ac:dyDescent="0.25">
      <c r="D98" s="9" t="s">
        <v>16</v>
      </c>
      <c r="E98" t="s">
        <v>18</v>
      </c>
    </row>
    <row r="99" spans="3:5" x14ac:dyDescent="0.25">
      <c r="D99" s="10" t="s">
        <v>30</v>
      </c>
      <c r="E99" s="11">
        <v>1281</v>
      </c>
    </row>
    <row r="100" spans="3:5" x14ac:dyDescent="0.25">
      <c r="D100" s="10" t="s">
        <v>31</v>
      </c>
      <c r="E100" s="11">
        <v>1032</v>
      </c>
    </row>
    <row r="101" spans="3:5" x14ac:dyDescent="0.25">
      <c r="D101" s="10" t="s">
        <v>32</v>
      </c>
      <c r="E101" s="11">
        <v>958</v>
      </c>
    </row>
    <row r="102" spans="3:5" x14ac:dyDescent="0.25">
      <c r="D102" s="10" t="s">
        <v>33</v>
      </c>
      <c r="E102" s="11">
        <v>1155</v>
      </c>
    </row>
    <row r="103" spans="3:5" x14ac:dyDescent="0.25">
      <c r="D103" s="10" t="s">
        <v>34</v>
      </c>
      <c r="E103" s="11">
        <v>1286</v>
      </c>
    </row>
    <row r="104" spans="3:5" x14ac:dyDescent="0.25">
      <c r="D104" s="10" t="s">
        <v>35</v>
      </c>
      <c r="E104" s="11">
        <v>1117</v>
      </c>
    </row>
    <row r="105" spans="3:5" x14ac:dyDescent="0.25">
      <c r="D105" s="10" t="s">
        <v>17</v>
      </c>
      <c r="E105" s="11">
        <v>6829</v>
      </c>
    </row>
    <row r="115" spans="3:8" x14ac:dyDescent="0.25">
      <c r="C115" s="31">
        <v>6</v>
      </c>
      <c r="D115" s="31" t="s">
        <v>48</v>
      </c>
      <c r="E115" s="31"/>
      <c r="F115" s="31"/>
      <c r="G115" s="31"/>
      <c r="H115" s="31"/>
    </row>
    <row r="116" spans="3:8" ht="15.75" thickBot="1" x14ac:dyDescent="0.3">
      <c r="C116" t="s">
        <v>13</v>
      </c>
      <c r="D116" s="15" t="s">
        <v>2</v>
      </c>
      <c r="E116" s="16" t="s">
        <v>3</v>
      </c>
    </row>
    <row r="117" spans="3:8" ht="15.75" thickBot="1" x14ac:dyDescent="0.3">
      <c r="D117" s="14" t="s">
        <v>6</v>
      </c>
      <c r="E117" s="5">
        <v>456</v>
      </c>
    </row>
    <row r="118" spans="3:8" ht="15.75" thickBot="1" x14ac:dyDescent="0.3">
      <c r="D118" s="14" t="s">
        <v>8</v>
      </c>
      <c r="E118" s="5">
        <v>348</v>
      </c>
    </row>
    <row r="119" spans="3:8" ht="15.75" thickBot="1" x14ac:dyDescent="0.3">
      <c r="D119" s="14" t="s">
        <v>6</v>
      </c>
      <c r="E119" s="5">
        <v>247</v>
      </c>
    </row>
    <row r="120" spans="3:8" ht="15.75" thickBot="1" x14ac:dyDescent="0.3">
      <c r="D120" s="14" t="s">
        <v>9</v>
      </c>
      <c r="E120" s="5">
        <v>230</v>
      </c>
    </row>
    <row r="121" spans="3:8" ht="15.75" thickBot="1" x14ac:dyDescent="0.3">
      <c r="D121" s="14" t="s">
        <v>6</v>
      </c>
      <c r="E121" s="5">
        <v>281</v>
      </c>
    </row>
    <row r="122" spans="3:8" ht="15.75" thickBot="1" x14ac:dyDescent="0.3">
      <c r="D122" s="14" t="s">
        <v>8</v>
      </c>
      <c r="E122" s="5">
        <v>334</v>
      </c>
    </row>
    <row r="123" spans="3:8" ht="15.75" thickBot="1" x14ac:dyDescent="0.3">
      <c r="D123" s="14" t="s">
        <v>9</v>
      </c>
      <c r="E123" s="5">
        <v>417</v>
      </c>
    </row>
    <row r="124" spans="3:8" ht="15.75" thickBot="1" x14ac:dyDescent="0.3">
      <c r="D124" s="14" t="s">
        <v>9</v>
      </c>
      <c r="E124" s="5">
        <v>441</v>
      </c>
    </row>
    <row r="125" spans="3:8" ht="15.75" thickBot="1" x14ac:dyDescent="0.3">
      <c r="D125" s="14" t="s">
        <v>6</v>
      </c>
      <c r="E125" s="5">
        <v>76</v>
      </c>
    </row>
    <row r="126" spans="3:8" ht="15.75" thickBot="1" x14ac:dyDescent="0.3">
      <c r="D126" s="14" t="s">
        <v>8</v>
      </c>
      <c r="E126" s="5">
        <v>441</v>
      </c>
    </row>
    <row r="127" spans="3:8" ht="15.75" thickBot="1" x14ac:dyDescent="0.3">
      <c r="D127" s="14" t="s">
        <v>6</v>
      </c>
      <c r="E127" s="5">
        <v>205</v>
      </c>
    </row>
    <row r="128" spans="3:8" ht="15.75" thickBot="1" x14ac:dyDescent="0.3">
      <c r="D128" s="14" t="s">
        <v>8</v>
      </c>
      <c r="E128" s="5">
        <v>483</v>
      </c>
    </row>
    <row r="129" spans="3:13" ht="15.75" thickBot="1" x14ac:dyDescent="0.3">
      <c r="D129" s="14" t="s">
        <v>6</v>
      </c>
      <c r="E129" s="5">
        <v>467</v>
      </c>
    </row>
    <row r="130" spans="3:13" ht="15.75" thickBot="1" x14ac:dyDescent="0.3">
      <c r="D130" s="14" t="s">
        <v>6</v>
      </c>
      <c r="E130" s="5">
        <v>380</v>
      </c>
    </row>
    <row r="131" spans="3:13" ht="15.75" thickBot="1" x14ac:dyDescent="0.3">
      <c r="D131" s="14" t="s">
        <v>8</v>
      </c>
      <c r="E131" s="5">
        <v>497</v>
      </c>
    </row>
    <row r="132" spans="3:13" ht="15.75" thickBot="1" x14ac:dyDescent="0.3">
      <c r="D132" s="14" t="s">
        <v>6</v>
      </c>
      <c r="E132" s="5">
        <v>409</v>
      </c>
    </row>
    <row r="133" spans="3:13" ht="15.75" thickBot="1" x14ac:dyDescent="0.3">
      <c r="D133" s="14" t="s">
        <v>8</v>
      </c>
      <c r="E133" s="5">
        <v>53</v>
      </c>
    </row>
    <row r="134" spans="3:13" ht="15.75" thickBot="1" x14ac:dyDescent="0.3">
      <c r="D134" s="14" t="s">
        <v>9</v>
      </c>
      <c r="E134" s="5">
        <v>398</v>
      </c>
    </row>
    <row r="135" spans="3:13" ht="15.75" thickBot="1" x14ac:dyDescent="0.3">
      <c r="D135" s="14" t="s">
        <v>8</v>
      </c>
      <c r="E135" s="5">
        <v>347</v>
      </c>
    </row>
    <row r="136" spans="3:13" x14ac:dyDescent="0.25">
      <c r="D136" s="17" t="s">
        <v>9</v>
      </c>
      <c r="E136" s="18">
        <v>319</v>
      </c>
    </row>
    <row r="139" spans="3:13" x14ac:dyDescent="0.25">
      <c r="C139" s="31">
        <v>7</v>
      </c>
      <c r="D139" s="31" t="s">
        <v>36</v>
      </c>
      <c r="E139" s="31"/>
      <c r="F139" s="31"/>
      <c r="G139" s="31"/>
      <c r="H139" s="31"/>
    </row>
    <row r="140" spans="3:13" ht="29.25" customHeight="1" x14ac:dyDescent="0.25">
      <c r="C140" t="s">
        <v>13</v>
      </c>
      <c r="D140" s="8" t="s">
        <v>37</v>
      </c>
      <c r="E140" s="8"/>
      <c r="F140" s="8"/>
      <c r="G140" s="8"/>
      <c r="H140" s="8"/>
      <c r="I140" s="8"/>
      <c r="J140" s="8"/>
      <c r="K140" s="8"/>
      <c r="L140" s="8"/>
      <c r="M140" s="8"/>
    </row>
    <row r="141" spans="3:13" ht="30" customHeight="1" x14ac:dyDescent="0.25">
      <c r="D141" s="8" t="s">
        <v>38</v>
      </c>
      <c r="E141" s="8"/>
      <c r="F141" s="8"/>
      <c r="G141" s="8"/>
      <c r="H141" s="8"/>
      <c r="I141" s="8"/>
      <c r="J141" s="8"/>
      <c r="K141" s="8"/>
      <c r="L141" s="8"/>
      <c r="M141" s="8"/>
    </row>
    <row r="144" spans="3:13" x14ac:dyDescent="0.25">
      <c r="C144" s="31">
        <v>8</v>
      </c>
      <c r="D144" s="31" t="s">
        <v>39</v>
      </c>
      <c r="E144" s="31"/>
    </row>
    <row r="145" spans="3:5" x14ac:dyDescent="0.25">
      <c r="D145" s="19" t="s">
        <v>40</v>
      </c>
    </row>
    <row r="146" spans="3:5" x14ac:dyDescent="0.25">
      <c r="D146" s="19" t="s">
        <v>41</v>
      </c>
    </row>
    <row r="147" spans="3:5" x14ac:dyDescent="0.25">
      <c r="D147" s="19" t="s">
        <v>42</v>
      </c>
    </row>
    <row r="148" spans="3:5" x14ac:dyDescent="0.25">
      <c r="C148" t="s">
        <v>13</v>
      </c>
      <c r="D148" s="9" t="s">
        <v>16</v>
      </c>
      <c r="E148" t="s">
        <v>18</v>
      </c>
    </row>
    <row r="149" spans="3:5" x14ac:dyDescent="0.25">
      <c r="D149" s="10" t="s">
        <v>10</v>
      </c>
      <c r="E149" s="11">
        <v>467</v>
      </c>
    </row>
    <row r="150" spans="3:5" x14ac:dyDescent="0.25">
      <c r="D150" s="10" t="s">
        <v>11</v>
      </c>
      <c r="E150" s="11">
        <v>347</v>
      </c>
    </row>
    <row r="151" spans="3:5" x14ac:dyDescent="0.25">
      <c r="D151" s="10" t="s">
        <v>7</v>
      </c>
      <c r="E151" s="11">
        <v>2518</v>
      </c>
    </row>
    <row r="152" spans="3:5" x14ac:dyDescent="0.25">
      <c r="D152" s="10" t="s">
        <v>5</v>
      </c>
      <c r="E152" s="11">
        <v>3497</v>
      </c>
    </row>
    <row r="153" spans="3:5" x14ac:dyDescent="0.25">
      <c r="D153" s="10" t="s">
        <v>17</v>
      </c>
      <c r="E153" s="11">
        <v>6829</v>
      </c>
    </row>
    <row r="156" spans="3:5" ht="15.75" thickBot="1" x14ac:dyDescent="0.3">
      <c r="D156" s="15" t="s">
        <v>2</v>
      </c>
    </row>
    <row r="157" spans="3:5" ht="15.75" thickBot="1" x14ac:dyDescent="0.3">
      <c r="D157" s="14" t="s">
        <v>6</v>
      </c>
    </row>
    <row r="158" spans="3:5" ht="15.75" thickBot="1" x14ac:dyDescent="0.3">
      <c r="D158" s="14" t="s">
        <v>8</v>
      </c>
    </row>
    <row r="159" spans="3:5" ht="15.75" thickBot="1" x14ac:dyDescent="0.3">
      <c r="D159" s="14" t="s">
        <v>6</v>
      </c>
    </row>
    <row r="160" spans="3:5" ht="15.75" thickBot="1" x14ac:dyDescent="0.3">
      <c r="D160" s="14" t="s">
        <v>9</v>
      </c>
    </row>
    <row r="161" spans="4:10" ht="15.75" thickBot="1" x14ac:dyDescent="0.3">
      <c r="D161" s="14" t="s">
        <v>6</v>
      </c>
      <c r="I161" s="20" t="s">
        <v>0</v>
      </c>
      <c r="J161" s="16" t="s">
        <v>3</v>
      </c>
    </row>
    <row r="162" spans="4:10" ht="15.75" thickBot="1" x14ac:dyDescent="0.3">
      <c r="D162" s="14" t="s">
        <v>8</v>
      </c>
      <c r="I162" s="6">
        <v>45292</v>
      </c>
      <c r="J162" s="5">
        <v>456</v>
      </c>
    </row>
    <row r="163" spans="4:10" ht="15.75" thickBot="1" x14ac:dyDescent="0.3">
      <c r="D163" s="14" t="s">
        <v>9</v>
      </c>
      <c r="I163" s="3">
        <v>45301</v>
      </c>
      <c r="J163" s="5">
        <v>348</v>
      </c>
    </row>
    <row r="164" spans="4:10" ht="15.75" thickBot="1" x14ac:dyDescent="0.3">
      <c r="D164" s="14" t="s">
        <v>9</v>
      </c>
      <c r="I164" s="3">
        <v>45311</v>
      </c>
      <c r="J164" s="5">
        <v>247</v>
      </c>
    </row>
    <row r="165" spans="4:10" ht="15.75" thickBot="1" x14ac:dyDescent="0.3">
      <c r="D165" s="14" t="s">
        <v>6</v>
      </c>
      <c r="I165" s="3">
        <v>45320.578946759262</v>
      </c>
      <c r="J165" s="5">
        <v>230</v>
      </c>
    </row>
    <row r="166" spans="4:10" ht="15.75" thickBot="1" x14ac:dyDescent="0.3">
      <c r="D166" s="14" t="s">
        <v>8</v>
      </c>
      <c r="I166" s="3">
        <v>45330.105266203704</v>
      </c>
      <c r="J166" s="5">
        <v>281</v>
      </c>
    </row>
    <row r="167" spans="4:10" ht="15.75" thickBot="1" x14ac:dyDescent="0.3">
      <c r="D167" s="14" t="s">
        <v>6</v>
      </c>
      <c r="I167" s="3">
        <v>45339.631574074076</v>
      </c>
      <c r="J167" s="5">
        <v>334</v>
      </c>
    </row>
    <row r="168" spans="4:10" ht="15.75" thickBot="1" x14ac:dyDescent="0.3">
      <c r="D168" s="14" t="s">
        <v>8</v>
      </c>
      <c r="I168" s="3">
        <v>45349.157893518517</v>
      </c>
      <c r="J168" s="5">
        <v>417</v>
      </c>
    </row>
    <row r="169" spans="4:10" ht="15.75" thickBot="1" x14ac:dyDescent="0.3">
      <c r="D169" s="14" t="s">
        <v>6</v>
      </c>
      <c r="I169" s="3">
        <v>45358.684212962966</v>
      </c>
      <c r="J169" s="5">
        <v>441</v>
      </c>
    </row>
    <row r="170" spans="4:10" ht="15.75" thickBot="1" x14ac:dyDescent="0.3">
      <c r="D170" s="14" t="s">
        <v>6</v>
      </c>
      <c r="I170" s="3">
        <v>45368.210520833331</v>
      </c>
      <c r="J170" s="5">
        <v>76</v>
      </c>
    </row>
    <row r="171" spans="4:10" ht="15.75" thickBot="1" x14ac:dyDescent="0.3">
      <c r="D171" s="14" t="s">
        <v>8</v>
      </c>
      <c r="I171" s="3">
        <v>45377.736840277779</v>
      </c>
      <c r="J171" s="5">
        <v>441</v>
      </c>
    </row>
    <row r="172" spans="4:10" ht="15.75" thickBot="1" x14ac:dyDescent="0.3">
      <c r="D172" s="14" t="s">
        <v>6</v>
      </c>
      <c r="I172" s="3">
        <v>45387.263159722221</v>
      </c>
      <c r="J172" s="5">
        <v>205</v>
      </c>
    </row>
    <row r="173" spans="4:10" ht="15.75" thickBot="1" x14ac:dyDescent="0.3">
      <c r="D173" s="14" t="s">
        <v>8</v>
      </c>
      <c r="I173" s="3">
        <v>45396.789479166669</v>
      </c>
      <c r="J173" s="5">
        <v>483</v>
      </c>
    </row>
    <row r="174" spans="4:10" ht="15.75" thickBot="1" x14ac:dyDescent="0.3">
      <c r="D174" s="14" t="s">
        <v>9</v>
      </c>
      <c r="I174" s="3">
        <v>45406.315787037034</v>
      </c>
      <c r="J174" s="5">
        <v>467</v>
      </c>
    </row>
    <row r="175" spans="4:10" ht="15.75" thickBot="1" x14ac:dyDescent="0.3">
      <c r="D175" s="14" t="s">
        <v>8</v>
      </c>
      <c r="I175" s="3">
        <v>45415.842106481483</v>
      </c>
      <c r="J175" s="5">
        <v>380</v>
      </c>
    </row>
    <row r="176" spans="4:10" ht="15.75" thickBot="1" x14ac:dyDescent="0.3">
      <c r="D176" s="17" t="s">
        <v>9</v>
      </c>
      <c r="I176" s="3">
        <v>45425.368425925924</v>
      </c>
      <c r="J176" s="5">
        <v>497</v>
      </c>
    </row>
    <row r="177" spans="3:10" ht="15.75" thickBot="1" x14ac:dyDescent="0.3">
      <c r="I177" s="3">
        <v>45434.894733796296</v>
      </c>
      <c r="J177" s="5">
        <v>409</v>
      </c>
    </row>
    <row r="178" spans="3:10" ht="15.75" thickBot="1" x14ac:dyDescent="0.3">
      <c r="I178" s="3">
        <v>45444.421053240738</v>
      </c>
      <c r="J178" s="5">
        <v>53</v>
      </c>
    </row>
    <row r="179" spans="3:10" ht="15.75" thickBot="1" x14ac:dyDescent="0.3">
      <c r="I179" s="3">
        <v>45453.947372685187</v>
      </c>
      <c r="J179" s="5">
        <v>398</v>
      </c>
    </row>
    <row r="180" spans="3:10" ht="15.75" thickBot="1" x14ac:dyDescent="0.3">
      <c r="I180" s="3">
        <v>45463.473680555559</v>
      </c>
      <c r="J180" s="5">
        <v>347</v>
      </c>
    </row>
    <row r="181" spans="3:10" x14ac:dyDescent="0.25">
      <c r="I181" s="21">
        <v>45473</v>
      </c>
      <c r="J181" s="18">
        <v>319</v>
      </c>
    </row>
    <row r="184" spans="3:10" x14ac:dyDescent="0.25">
      <c r="C184" s="31">
        <v>9</v>
      </c>
      <c r="D184" s="31" t="s">
        <v>43</v>
      </c>
      <c r="E184" s="31"/>
      <c r="F184" s="31"/>
      <c r="G184" s="31"/>
      <c r="H184" s="31"/>
      <c r="I184" s="31"/>
    </row>
    <row r="185" spans="3:10" x14ac:dyDescent="0.25">
      <c r="C185" t="s">
        <v>13</v>
      </c>
    </row>
    <row r="186" spans="3:10" x14ac:dyDescent="0.25">
      <c r="D186" s="9" t="s">
        <v>16</v>
      </c>
      <c r="E186" t="s">
        <v>44</v>
      </c>
    </row>
    <row r="187" spans="3:10" x14ac:dyDescent="0.25">
      <c r="D187" s="10" t="s">
        <v>30</v>
      </c>
      <c r="E187" s="11">
        <v>320.25</v>
      </c>
    </row>
    <row r="188" spans="3:10" x14ac:dyDescent="0.25">
      <c r="D188" s="10" t="s">
        <v>31</v>
      </c>
      <c r="E188" s="11">
        <v>344</v>
      </c>
    </row>
    <row r="189" spans="3:10" x14ac:dyDescent="0.25">
      <c r="D189" s="10" t="s">
        <v>32</v>
      </c>
      <c r="E189" s="11">
        <v>319.33333333333331</v>
      </c>
    </row>
    <row r="190" spans="3:10" x14ac:dyDescent="0.25">
      <c r="D190" s="10" t="s">
        <v>33</v>
      </c>
      <c r="E190" s="11">
        <v>385</v>
      </c>
    </row>
    <row r="191" spans="3:10" x14ac:dyDescent="0.25">
      <c r="D191" s="10" t="s">
        <v>34</v>
      </c>
      <c r="E191" s="11">
        <v>428.66666666666669</v>
      </c>
    </row>
    <row r="192" spans="3:10" x14ac:dyDescent="0.25">
      <c r="D192" s="10" t="s">
        <v>35</v>
      </c>
      <c r="E192" s="11">
        <v>279.25</v>
      </c>
    </row>
    <row r="193" spans="3:10" x14ac:dyDescent="0.25">
      <c r="D193" s="10" t="s">
        <v>17</v>
      </c>
      <c r="E193" s="11">
        <v>341.45</v>
      </c>
    </row>
    <row r="196" spans="3:10" x14ac:dyDescent="0.25">
      <c r="C196" s="31">
        <v>10</v>
      </c>
      <c r="D196" s="31" t="s">
        <v>45</v>
      </c>
      <c r="E196" s="31"/>
      <c r="F196" s="31"/>
      <c r="G196" s="31"/>
      <c r="H196" s="31"/>
      <c r="I196" s="31"/>
      <c r="J196" s="31"/>
    </row>
    <row r="197" spans="3:10" x14ac:dyDescent="0.25">
      <c r="C197" t="s">
        <v>13</v>
      </c>
      <c r="D197" s="25" t="s">
        <v>2</v>
      </c>
      <c r="E197" s="26" t="s">
        <v>46</v>
      </c>
      <c r="F197" s="27" t="s">
        <v>3</v>
      </c>
    </row>
    <row r="198" spans="3:10" x14ac:dyDescent="0.25">
      <c r="D198" s="23" t="s">
        <v>6</v>
      </c>
      <c r="E198" s="22" t="str">
        <f>IF(OR(D198="Apples", D198="Oranges"), "Fruits", D198)</f>
        <v>Mangoes</v>
      </c>
      <c r="F198" s="24">
        <v>456</v>
      </c>
    </row>
    <row r="199" spans="3:10" x14ac:dyDescent="0.25">
      <c r="D199" s="23" t="s">
        <v>8</v>
      </c>
      <c r="E199" s="22" t="str">
        <f t="shared" ref="E199:E217" si="0">IF(OR(D199="Apples", D199="Oranges"), "Fruits", D199)</f>
        <v>Fruits</v>
      </c>
      <c r="F199" s="24">
        <v>348</v>
      </c>
    </row>
    <row r="200" spans="3:10" x14ac:dyDescent="0.25">
      <c r="D200" s="23" t="s">
        <v>6</v>
      </c>
      <c r="E200" s="22" t="str">
        <f t="shared" si="0"/>
        <v>Mangoes</v>
      </c>
      <c r="F200" s="24">
        <v>247</v>
      </c>
    </row>
    <row r="201" spans="3:10" x14ac:dyDescent="0.25">
      <c r="D201" s="23" t="s">
        <v>9</v>
      </c>
      <c r="E201" s="22" t="str">
        <f t="shared" si="0"/>
        <v>Fruits</v>
      </c>
      <c r="F201" s="24">
        <v>230</v>
      </c>
    </row>
    <row r="202" spans="3:10" x14ac:dyDescent="0.25">
      <c r="D202" s="23" t="s">
        <v>6</v>
      </c>
      <c r="E202" s="22" t="str">
        <f t="shared" si="0"/>
        <v>Mangoes</v>
      </c>
      <c r="F202" s="24">
        <v>281</v>
      </c>
      <c r="I202" s="9" t="s">
        <v>16</v>
      </c>
      <c r="J202" t="s">
        <v>18</v>
      </c>
    </row>
    <row r="203" spans="3:10" x14ac:dyDescent="0.25">
      <c r="D203" s="23" t="s">
        <v>8</v>
      </c>
      <c r="E203" s="22" t="str">
        <f t="shared" si="0"/>
        <v>Fruits</v>
      </c>
      <c r="F203" s="24">
        <v>334</v>
      </c>
      <c r="I203" s="10" t="s">
        <v>47</v>
      </c>
      <c r="J203" s="11">
        <v>4308</v>
      </c>
    </row>
    <row r="204" spans="3:10" x14ac:dyDescent="0.25">
      <c r="D204" s="23" t="s">
        <v>9</v>
      </c>
      <c r="E204" s="22" t="str">
        <f t="shared" si="0"/>
        <v>Fruits</v>
      </c>
      <c r="F204" s="24">
        <v>417</v>
      </c>
      <c r="I204" s="10" t="s">
        <v>6</v>
      </c>
      <c r="J204" s="11">
        <v>2521</v>
      </c>
    </row>
    <row r="205" spans="3:10" x14ac:dyDescent="0.25">
      <c r="D205" s="23" t="s">
        <v>9</v>
      </c>
      <c r="E205" s="22" t="str">
        <f t="shared" si="0"/>
        <v>Fruits</v>
      </c>
      <c r="F205" s="24">
        <v>441</v>
      </c>
      <c r="I205" s="10" t="s">
        <v>17</v>
      </c>
      <c r="J205" s="11">
        <v>6829</v>
      </c>
    </row>
    <row r="206" spans="3:10" x14ac:dyDescent="0.25">
      <c r="D206" s="23" t="s">
        <v>6</v>
      </c>
      <c r="E206" s="22" t="str">
        <f t="shared" si="0"/>
        <v>Mangoes</v>
      </c>
      <c r="F206" s="24">
        <v>76</v>
      </c>
    </row>
    <row r="207" spans="3:10" x14ac:dyDescent="0.25">
      <c r="D207" s="23" t="s">
        <v>8</v>
      </c>
      <c r="E207" s="22" t="str">
        <f t="shared" si="0"/>
        <v>Fruits</v>
      </c>
      <c r="F207" s="24">
        <v>441</v>
      </c>
    </row>
    <row r="208" spans="3:10" x14ac:dyDescent="0.25">
      <c r="D208" s="23" t="s">
        <v>6</v>
      </c>
      <c r="E208" s="22" t="str">
        <f t="shared" si="0"/>
        <v>Mangoes</v>
      </c>
      <c r="F208" s="24">
        <v>205</v>
      </c>
    </row>
    <row r="209" spans="4:6" x14ac:dyDescent="0.25">
      <c r="D209" s="23" t="s">
        <v>8</v>
      </c>
      <c r="E209" s="22" t="str">
        <f t="shared" si="0"/>
        <v>Fruits</v>
      </c>
      <c r="F209" s="24">
        <v>483</v>
      </c>
    </row>
    <row r="210" spans="4:6" x14ac:dyDescent="0.25">
      <c r="D210" s="23" t="s">
        <v>6</v>
      </c>
      <c r="E210" s="22" t="str">
        <f t="shared" si="0"/>
        <v>Mangoes</v>
      </c>
      <c r="F210" s="24">
        <v>467</v>
      </c>
    </row>
    <row r="211" spans="4:6" x14ac:dyDescent="0.25">
      <c r="D211" s="23" t="s">
        <v>6</v>
      </c>
      <c r="E211" s="22" t="str">
        <f t="shared" si="0"/>
        <v>Mangoes</v>
      </c>
      <c r="F211" s="24">
        <v>380</v>
      </c>
    </row>
    <row r="212" spans="4:6" x14ac:dyDescent="0.25">
      <c r="D212" s="23" t="s">
        <v>8</v>
      </c>
      <c r="E212" s="22" t="str">
        <f t="shared" si="0"/>
        <v>Fruits</v>
      </c>
      <c r="F212" s="24">
        <v>497</v>
      </c>
    </row>
    <row r="213" spans="4:6" x14ac:dyDescent="0.25">
      <c r="D213" s="23" t="s">
        <v>6</v>
      </c>
      <c r="E213" s="22" t="str">
        <f t="shared" si="0"/>
        <v>Mangoes</v>
      </c>
      <c r="F213" s="24">
        <v>409</v>
      </c>
    </row>
    <row r="214" spans="4:6" x14ac:dyDescent="0.25">
      <c r="D214" s="23" t="s">
        <v>8</v>
      </c>
      <c r="E214" s="22" t="str">
        <f t="shared" si="0"/>
        <v>Fruits</v>
      </c>
      <c r="F214" s="24">
        <v>53</v>
      </c>
    </row>
    <row r="215" spans="4:6" x14ac:dyDescent="0.25">
      <c r="D215" s="23" t="s">
        <v>9</v>
      </c>
      <c r="E215" s="22" t="str">
        <f t="shared" si="0"/>
        <v>Fruits</v>
      </c>
      <c r="F215" s="24">
        <v>398</v>
      </c>
    </row>
    <row r="216" spans="4:6" x14ac:dyDescent="0.25">
      <c r="D216" s="23" t="s">
        <v>8</v>
      </c>
      <c r="E216" s="22" t="str">
        <f t="shared" si="0"/>
        <v>Fruits</v>
      </c>
      <c r="F216" s="24">
        <v>347</v>
      </c>
    </row>
    <row r="217" spans="4:6" x14ac:dyDescent="0.25">
      <c r="D217" s="28" t="s">
        <v>9</v>
      </c>
      <c r="E217" s="29" t="str">
        <f t="shared" si="0"/>
        <v>Fruits</v>
      </c>
      <c r="F217" s="30">
        <v>319</v>
      </c>
    </row>
  </sheetData>
  <mergeCells count="4">
    <mergeCell ref="D4:M4"/>
    <mergeCell ref="D45:M45"/>
    <mergeCell ref="D140:M140"/>
    <mergeCell ref="D141:M141"/>
  </mergeCells>
  <conditionalFormatting sqref="D19:D38">
    <cfRule type="cellIs" dxfId="6" priority="1" operator="greaterThan">
      <formula>400</formula>
    </cfRule>
  </conditionalFormatting>
  <pageMargins left="0.7" right="0.7" top="0.75" bottom="0.75" header="0.3" footer="0.3"/>
  <pageSetup paperSize="9" orientation="portrait" r:id="rId6"/>
  <drawing r:id="rId7"/>
  <tableParts count="6">
    <tablePart r:id="rId8"/>
    <tablePart r:id="rId9"/>
    <tablePart r:id="rId10"/>
    <tablePart r:id="rId11"/>
    <tablePart r:id="rId12"/>
    <tablePart r:id="rId13"/>
  </tableParts>
  <extLst>
    <ext xmlns:x15="http://schemas.microsoft.com/office/spreadsheetml/2010/11/main" uri="{3A4CF648-6AED-40f4-86FF-DC5316D8AED3}">
      <x14:slicerList xmlns:x14="http://schemas.microsoft.com/office/spreadsheetml/2009/9/main">
        <x14:slicer r:id="rId1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2025-12-25T13:11:49Z</dcterms:created>
  <dcterms:modified xsi:type="dcterms:W3CDTF">2025-12-25T18:25:51Z</dcterms:modified>
</cp:coreProperties>
</file>